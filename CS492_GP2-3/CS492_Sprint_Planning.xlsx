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wonderfulco-my.sharepoint.com/personal/darius_rollins_fijiwater_com/Documents/Documents/"/>
    </mc:Choice>
  </mc:AlternateContent>
  <xr:revisionPtr revIDLastSave="0" documentId="8_{1B193D6F-7CFC-4B47-AD9A-230092560976}" xr6:coauthVersionLast="47" xr6:coauthVersionMax="47" xr10:uidLastSave="{00000000-0000-0000-0000-000000000000}"/>
  <bookViews>
    <workbookView xWindow="-28910" yWindow="120" windowWidth="29020" windowHeight="15700" activeTab="2" xr2:uid="{00000000-000D-0000-FFFF-FFFF00000000}"/>
  </bookViews>
  <sheets>
    <sheet name="Introduction" sheetId="1" r:id="rId1"/>
    <sheet name="Product Backlog" sheetId="2" r:id="rId2"/>
    <sheet name="Sprint 1" sheetId="3" r:id="rId3"/>
    <sheet name="Sprint 2" sheetId="4" r:id="rId4"/>
    <sheet name="Summary" sheetId="5" r:id="rId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5" l="1"/>
  <c r="C5" i="5"/>
  <c r="B5" i="5"/>
  <c r="A5" i="5"/>
  <c r="D4" i="5"/>
  <c r="C4" i="5"/>
  <c r="B4" i="5"/>
  <c r="A4" i="5"/>
  <c r="B38" i="3"/>
  <c r="B37" i="3"/>
  <c r="B36" i="3"/>
  <c r="B35" i="3"/>
  <c r="B36" i="4"/>
  <c r="B35" i="4"/>
  <c r="B34" i="4"/>
  <c r="B33" i="4"/>
</calcChain>
</file>

<file path=xl/sharedStrings.xml><?xml version="1.0" encoding="utf-8"?>
<sst xmlns="http://schemas.openxmlformats.org/spreadsheetml/2006/main" count="481" uniqueCount="302">
  <si>
    <t>Sprint 2 Tracking Sheet</t>
  </si>
  <si>
    <t>Project</t>
  </si>
  <si>
    <t>School Management System</t>
  </si>
  <si>
    <t>Sprint #</t>
  </si>
  <si>
    <t>Start date</t>
  </si>
  <si>
    <t>Total Team Members</t>
  </si>
  <si>
    <t>Task ID</t>
  </si>
  <si>
    <t>Story ID</t>
  </si>
  <si>
    <t>Task Description</t>
  </si>
  <si>
    <t>Responsibility</t>
  </si>
  <si>
    <t>Initial Estimate</t>
  </si>
  <si>
    <t>Status</t>
  </si>
  <si>
    <t>Acceptance Criteria / Done When</t>
  </si>
  <si>
    <t>Legal/Ethical Notes</t>
  </si>
  <si>
    <t>Day 1</t>
  </si>
  <si>
    <t>Day 2</t>
  </si>
  <si>
    <t>Day 3</t>
  </si>
  <si>
    <t>Day 4</t>
  </si>
  <si>
    <t>Day 5</t>
  </si>
  <si>
    <t>Day 6</t>
  </si>
  <si>
    <t>Day 7</t>
  </si>
  <si>
    <t>Day 8</t>
  </si>
  <si>
    <t>Day 9</t>
  </si>
  <si>
    <t>Day 10</t>
  </si>
  <si>
    <t>Day 11</t>
  </si>
  <si>
    <t>Day 12</t>
  </si>
  <si>
    <t>Day 13</t>
  </si>
  <si>
    <t>Day 14</t>
  </si>
  <si>
    <t>T-021</t>
  </si>
  <si>
    <t>US-005</t>
  </si>
  <si>
    <t>Develop attendance management interface</t>
  </si>
  <si>
    <t>Development Team</t>
  </si>
  <si>
    <t>Not Started</t>
  </si>
  <si>
    <t>Teacher can select a class and view students for attendance.</t>
  </si>
  <si>
    <t>Attendance data should be visible only to authorized users.</t>
  </si>
  <si>
    <t>T-022</t>
  </si>
  <si>
    <t>Record daily attendance</t>
  </si>
  <si>
    <t>Teacher can mark present, absent, or tardy and save the record.</t>
  </si>
  <si>
    <t>Accurate attendance supports fair student recordkeeping.</t>
  </si>
  <si>
    <t>T-023</t>
  </si>
  <si>
    <t>Edit attendance records</t>
  </si>
  <si>
    <t>Authorized user can correct attendance entries.</t>
  </si>
  <si>
    <t>Changes should be traceable to prevent misuse.</t>
  </si>
  <si>
    <t>T-024</t>
  </si>
  <si>
    <t>US-006</t>
  </si>
  <si>
    <t>Develop grade entry module</t>
  </si>
  <si>
    <t>Teacher can enter grades for assignments and courses.</t>
  </si>
  <si>
    <t>Grades must be protected from unauthorized viewing or editing.</t>
  </si>
  <si>
    <t>T-025</t>
  </si>
  <si>
    <t>Calculate final grades</t>
  </si>
  <si>
    <t>System calculates grade totals based on entered scores.</t>
  </si>
  <si>
    <t>Grade calculations must be accurate and unbiased.</t>
  </si>
  <si>
    <t>T-026</t>
  </si>
  <si>
    <t>Validate grading rules</t>
  </si>
  <si>
    <t>System validates score ranges and required grade fields.</t>
  </si>
  <si>
    <t>Protects academic record accuracy.</t>
  </si>
  <si>
    <t>T-027</t>
  </si>
  <si>
    <t>US-007</t>
  </si>
  <si>
    <t>Develop course enrollment feature</t>
  </si>
  <si>
    <t>Admin can enroll students into available courses.</t>
  </si>
  <si>
    <t>Enrollment access must be limited to authorized roles.</t>
  </si>
  <si>
    <t>T-028</t>
  </si>
  <si>
    <t>Validate enrollment prerequisites</t>
  </si>
  <si>
    <t>System checks prerequisite and course availability rules.</t>
  </si>
  <si>
    <t>Prevents inaccurate or unfair course placement.</t>
  </si>
  <si>
    <t>T-029</t>
  </si>
  <si>
    <t>US-008</t>
  </si>
  <si>
    <t>Generate student performance reports</t>
  </si>
  <si>
    <t>Authorized users can generate grade and attendance reports.</t>
  </si>
  <si>
    <t>Reports must avoid exposing unnecessary private information.</t>
  </si>
  <si>
    <t>T-030</t>
  </si>
  <si>
    <t>Export reports</t>
  </si>
  <si>
    <t>Reports can be exported for authorized review.</t>
  </si>
  <si>
    <t>Exported records must be handled securely.</t>
  </si>
  <si>
    <t>T-031</t>
  </si>
  <si>
    <t>US-009</t>
  </si>
  <si>
    <t>Develop parent portal</t>
  </si>
  <si>
    <t>Parent user can log in and view assigned student data.</t>
  </si>
  <si>
    <t>Parents must only see their own child's information.</t>
  </si>
  <si>
    <t>T-032</t>
  </si>
  <si>
    <t>Display attendance and grades in parent portal</t>
  </si>
  <si>
    <t>Parent portal displays current attendance and grades.</t>
  </si>
  <si>
    <t>Data visibility must follow role-based permissions.</t>
  </si>
  <si>
    <t>T-033</t>
  </si>
  <si>
    <t>US-010</t>
  </si>
  <si>
    <t>Implement notification service</t>
  </si>
  <si>
    <t>System can send selected attendance, grade, or announcement notifications.</t>
  </si>
  <si>
    <t>Notifications should not include unnecessary sensitive details.</t>
  </si>
  <si>
    <t>NFT-011</t>
  </si>
  <si>
    <t>NFR</t>
  </si>
  <si>
    <t>Conduct Sprint 2 Planning meeting</t>
  </si>
  <si>
    <t>Scrum Team</t>
  </si>
  <si>
    <t>Sprint 2 goal, selected stories, and tasks are confirmed.</t>
  </si>
  <si>
    <t>Planning supports realistic and responsible delivery.</t>
  </si>
  <si>
    <t>NFT-012</t>
  </si>
  <si>
    <t>Hold Daily Scrum meetings throughout Sprint 2</t>
  </si>
  <si>
    <t>Team reviews progress, blockers, and next work items.</t>
  </si>
  <si>
    <t>Supports transparency and collaboration.</t>
  </si>
  <si>
    <t>NFT-013</t>
  </si>
  <si>
    <t>Perform Sprint 2 Review and stakeholder demo</t>
  </si>
  <si>
    <t>Attendance, grade, enrollment, portal, and report features are demonstrated.</t>
  </si>
  <si>
    <t>Stakeholders can verify privacy and access expectations.</t>
  </si>
  <si>
    <t>NFT-014</t>
  </si>
  <si>
    <t>Conduct Sprint 2 Retrospective</t>
  </si>
  <si>
    <t>Team identifies improvements for future development.</t>
  </si>
  <si>
    <t>Supports continuous improvement.</t>
  </si>
  <si>
    <t>NFT-015</t>
  </si>
  <si>
    <t>Integration testing</t>
  </si>
  <si>
    <t>Sprint 2 features work with login, roles, and database records.</t>
  </si>
  <si>
    <t>Testing reduces risk of privacy or data accuracy failures.</t>
  </si>
  <si>
    <t>NFT-016</t>
  </si>
  <si>
    <t>System testing</t>
  </si>
  <si>
    <t>End-to-end system workflow is tested successfully.</t>
  </si>
  <si>
    <t>Verifies responsible handling of student information.</t>
  </si>
  <si>
    <t>NFT-017</t>
  </si>
  <si>
    <t>Resolve defects from testing</t>
  </si>
  <si>
    <t>High-priority defects are fixed and retested.</t>
  </si>
  <si>
    <t>Fixes protect usability, accuracy, and data security.</t>
  </si>
  <si>
    <t>NFT-018</t>
  </si>
  <si>
    <t>Security and privacy audit</t>
  </si>
  <si>
    <t>Role-based access and privacy controls are reviewed.</t>
  </si>
  <si>
    <t>Supports FERPA-focused and ethical data protection.</t>
  </si>
  <si>
    <t>NFT-019</t>
  </si>
  <si>
    <t>Finalize documentation and release notes</t>
  </si>
  <si>
    <t>Documentation explains completed Sprint 2 features and known issues.</t>
  </si>
  <si>
    <t>Accurate documentation supports responsible handoff.</t>
  </si>
  <si>
    <t>NFT-020</t>
  </si>
  <si>
    <t>Prepare Sprint 2 demo notes and feedback log</t>
  </si>
  <si>
    <t>Stakeholder feedback from Sprint 2 is captured for future backlog updates.</t>
  </si>
  <si>
    <t>Maintains traceability and transparency.</t>
  </si>
  <si>
    <t>Sprint Total Story Points</t>
  </si>
  <si>
    <t>Functional Story Points</t>
  </si>
  <si>
    <t>Non-Functional Story Points</t>
  </si>
  <si>
    <t>Task Count</t>
  </si>
  <si>
    <t>School Management System - Sprint Planning Submission</t>
  </si>
  <si>
    <t>Project Description</t>
  </si>
  <si>
    <t>The School Management System is a web-based application designed to help administrators, teachers, students, and parents manage common academic tasks. The system supports secure user login, student and teacher registration, attendance tracking, grade management, course enrollment, reports, parent access, and notifications. The project emphasizes security, privacy, role-based access, and ethical handling of student information.</t>
  </si>
  <si>
    <t>Sprint Planning Methodology</t>
  </si>
  <si>
    <t>The product backlog was prioritized by selecting the highest-value epics first. Sprint 1 focuses on foundational system capabilities such as authentication, registration, and administrator access. Sprint 2 expands the system with academic features such as attendance, grades, enrollment, reports, parent portal access, and notifications. Story Point estimates use a Scrum-style relative effort scale. Non-functional sprint activities are included to reflect realistic Scrum work such as planning, daily meetings, testing, review, retrospective, documentation, and security/privacy verification.</t>
  </si>
  <si>
    <t>Legal and Ethical Considerations</t>
  </si>
  <si>
    <t>Because the system manages student information, each sprint includes security and privacy tasks related to FERPA, role-based access, secure authentication, password protection, and responsible handling of student records. These tasks help ensure that only authorized users can access sensitive academic information and that the system supports ethical data management practices.</t>
  </si>
  <si>
    <t>Epic</t>
  </si>
  <si>
    <t>User Story</t>
  </si>
  <si>
    <t>Priority</t>
  </si>
  <si>
    <t>Acceptance Criteria</t>
  </si>
  <si>
    <t>Legal/Ethical Consideration</t>
  </si>
  <si>
    <t>US-001</t>
  </si>
  <si>
    <t>Authentication</t>
  </si>
  <si>
    <t>As a user, I want to log in securely so that I can access only the school information assigned to my role.</t>
  </si>
  <si>
    <t>High</t>
  </si>
  <si>
    <t>User can log in and out; invalid credentials show an error; sessions are protected.</t>
  </si>
  <si>
    <t>Passwords must be encrypted and access must be role-based.</t>
  </si>
  <si>
    <t>US-002</t>
  </si>
  <si>
    <t>Student Registration</t>
  </si>
  <si>
    <t>As an administrator, I want to register students so that student records can be created and maintained.</t>
  </si>
  <si>
    <t>Student record can be added with required fields; duplicate student IDs are prevented.</t>
  </si>
  <si>
    <t>Student data must be handled according to privacy expectations and FERPA principles.</t>
  </si>
  <si>
    <t>US-003</t>
  </si>
  <si>
    <t>Teacher Registration</t>
  </si>
  <si>
    <t>As an administrator, I want to register teachers so that teachers can access classes assigned to them.</t>
  </si>
  <si>
    <t>Teacher records can be created and saved; required fields are validated.</t>
  </si>
  <si>
    <t>Only authorized administrators can create or edit staff records.</t>
  </si>
  <si>
    <t>US-004</t>
  </si>
  <si>
    <t>Administrator Dashboard</t>
  </si>
  <si>
    <t>As an administrator, I want a dashboard so that I can manage core school system functions.</t>
  </si>
  <si>
    <t>Dashboard displays key modules and role-specific navigation.</t>
  </si>
  <si>
    <t>Dashboard must not expose confidential records to unauthorized users.</t>
  </si>
  <si>
    <t>Attendance Management</t>
  </si>
  <si>
    <t>As a teacher, I want to record attendance so that student attendance is tracked accurately.</t>
  </si>
  <si>
    <t>Teacher can mark present, absent, or tardy; records can be edited when authorized.</t>
  </si>
  <si>
    <t>Attendance records are sensitive student data and must be protected.</t>
  </si>
  <si>
    <t>Grade Management</t>
  </si>
  <si>
    <t>As a teacher, I want to enter and update grades so that students and parents can track academic progress.</t>
  </si>
  <si>
    <t>Grades can be entered, saved, calculated, and viewed by authorized users.</t>
  </si>
  <si>
    <t>Grades must only be available to authorized teachers, parents, students, and administrators.</t>
  </si>
  <si>
    <t>Course Enrollment</t>
  </si>
  <si>
    <t>As an administrator, I want to enroll students in courses so that schedules are accurate.</t>
  </si>
  <si>
    <t>Medium</t>
  </si>
  <si>
    <t>Student can be assigned to courses; system checks capacity/prerequisites.</t>
  </si>
  <si>
    <t>Enrollment records must be accurate and not shared unnecessarily.</t>
  </si>
  <si>
    <t>Reports</t>
  </si>
  <si>
    <t>As an administrator, I want reports so that academic and attendance data can be reviewed.</t>
  </si>
  <si>
    <t>Reports can be generated and exported for authorized users.</t>
  </si>
  <si>
    <t>Reports must avoid unnecessary disclosure of private student information.</t>
  </si>
  <si>
    <t>Parent Portal</t>
  </si>
  <si>
    <t>As a parent, I want access to attendance and grade information so that I can monitor my student's progress.</t>
  </si>
  <si>
    <t>Parent can view only assigned student information.</t>
  </si>
  <si>
    <t>Parent access must be identity-verified and limited to their own child.</t>
  </si>
  <si>
    <t>Notifications</t>
  </si>
  <si>
    <t>As a user, I want notifications so that important school updates can be communicated.</t>
  </si>
  <si>
    <t>System can send attendance, grade, or announcement notifications.</t>
  </si>
  <si>
    <t>Notifications must avoid exposing sensitive data in insecure channels.</t>
  </si>
  <si>
    <t>Sprint 1 Tracking Sheet</t>
  </si>
  <si>
    <t>T-001</t>
  </si>
  <si>
    <t>Create Git repository and configure branching strategy</t>
  </si>
  <si>
    <t>Completed</t>
  </si>
  <si>
    <t>Repository exists with main/development branches.</t>
  </si>
  <si>
    <t>Supports controlled changes and code accountability.</t>
  </si>
  <si>
    <t>T-002</t>
  </si>
  <si>
    <t>Configure development environment</t>
  </si>
  <si>
    <t>Project runs locally with required tools installed.</t>
  </si>
  <si>
    <t>Environment must support secure testing.</t>
  </si>
  <si>
    <t>T-003</t>
  </si>
  <si>
    <t>Design user authentication database schema</t>
  </si>
  <si>
    <t>User table includes role, username, password hash, and audit fields.</t>
  </si>
  <si>
    <t>Schema must support role-based access and password protection.</t>
  </si>
  <si>
    <t>T-004</t>
  </si>
  <si>
    <t>Develop login user interface</t>
  </si>
  <si>
    <t>Login screen accepts username/password and displays validation messages.</t>
  </si>
  <si>
    <t>Interface should not reveal unnecessary login details.</t>
  </si>
  <si>
    <t>T-005</t>
  </si>
  <si>
    <t>Implement secure authentication logic</t>
  </si>
  <si>
    <t>Valid users can sign in; invalid users receive safe errors.</t>
  </si>
  <si>
    <t>Authentication protects student and staff data.</t>
  </si>
  <si>
    <t>T-006</t>
  </si>
  <si>
    <t>Encrypt user passwords</t>
  </si>
  <si>
    <t>Passwords are stored as hashes, not plain text.</t>
  </si>
  <si>
    <t>Ethical security requirement for all user credentials.</t>
  </si>
  <si>
    <t>T-007</t>
  </si>
  <si>
    <t>Validate login credentials and error handling</t>
  </si>
  <si>
    <t>System validates credentials and prevents misleading error disclosure.</t>
  </si>
  <si>
    <t>Prevents unauthorized access and information leakage.</t>
  </si>
  <si>
    <t>T-008</t>
  </si>
  <si>
    <t>Implement logout and session management</t>
  </si>
  <si>
    <t>User sessions end properly after logout or timeout.</t>
  </si>
  <si>
    <t>Protects accounts on shared devices.</t>
  </si>
  <si>
    <t>T-009</t>
  </si>
  <si>
    <t>Design student registration form</t>
  </si>
  <si>
    <t>Form contains required student profile fields.</t>
  </si>
  <si>
    <t>Only necessary data should be collected.</t>
  </si>
  <si>
    <t>T-010</t>
  </si>
  <si>
    <t>Validate required student information</t>
  </si>
  <si>
    <t>Required fields must be completed before saving.</t>
  </si>
  <si>
    <t>Accurate student records support fair academic tracking.</t>
  </si>
  <si>
    <t>T-011</t>
  </si>
  <si>
    <t>Save student records to database</t>
  </si>
  <si>
    <t>Student data saves successfully and can be retrieved.</t>
  </si>
  <si>
    <t>Student records must be stored securely.</t>
  </si>
  <si>
    <t>T-012</t>
  </si>
  <si>
    <t>Prevent duplicate student IDs</t>
  </si>
  <si>
    <t>Duplicate ID entry is rejected with a clear message.</t>
  </si>
  <si>
    <t>Prevents inaccurate student identity records.</t>
  </si>
  <si>
    <t>T-013</t>
  </si>
  <si>
    <t>Develop teacher registration module</t>
  </si>
  <si>
    <t>Admin can create teacher accounts and assign roles.</t>
  </si>
  <si>
    <t>Staff account access should be limited by need.</t>
  </si>
  <si>
    <t>T-014</t>
  </si>
  <si>
    <t>Store teacher information securely</t>
  </si>
  <si>
    <t>Teacher record is saved and protected in the database.</t>
  </si>
  <si>
    <t>Protects staff information from unauthorized access.</t>
  </si>
  <si>
    <t>T-015</t>
  </si>
  <si>
    <t>Develop administrator dashboard</t>
  </si>
  <si>
    <t>In Progress</t>
  </si>
  <si>
    <t>Admin can navigate to user, student, teacher, and system features.</t>
  </si>
  <si>
    <t>Dashboard must not expose data beyond admin authority.</t>
  </si>
  <si>
    <t>NFT-001</t>
  </si>
  <si>
    <t>Conduct Sprint 1 Planning meeting</t>
  </si>
  <si>
    <t>Sprint goal, scope, and tasks are confirmed.</t>
  </si>
  <si>
    <t>Ensures shared understanding of responsible work.</t>
  </si>
  <si>
    <t>NFT-002</t>
  </si>
  <si>
    <t>Hold Daily Scrum meetings throughout Sprint 1</t>
  </si>
  <si>
    <t>Team discusses progress, blockers, and next steps.</t>
  </si>
  <si>
    <t>Promotes transparency and accountability.</t>
  </si>
  <si>
    <t>NFT-003</t>
  </si>
  <si>
    <t>Perform Sprint 1 Review and product demo</t>
  </si>
  <si>
    <t>Completed Sprint 1 work is demonstrated to stakeholders.</t>
  </si>
  <si>
    <t>Stakeholders can confirm system supports appropriate access.</t>
  </si>
  <si>
    <t>NFT-004</t>
  </si>
  <si>
    <t>Conduct Sprint 1 Retrospective</t>
  </si>
  <si>
    <t>Team identifies what went well and improvement actions.</t>
  </si>
  <si>
    <t>Supports ethical teamwork and continuous improvement.</t>
  </si>
  <si>
    <t>NFT-005</t>
  </si>
  <si>
    <t>Update project documentation and sprint backlog</t>
  </si>
  <si>
    <t>Documentation reflects completed features and remaining work.</t>
  </si>
  <si>
    <t>Keeps project records accurate and traceable.</t>
  </si>
  <si>
    <t>NFT-006</t>
  </si>
  <si>
    <t>Unit testing for Sprint 1 features</t>
  </si>
  <si>
    <t>Authentication and registration features pass unit tests.</t>
  </si>
  <si>
    <t>Testing reduces risk of student data errors.</t>
  </si>
  <si>
    <t>NFT-007</t>
  </si>
  <si>
    <t>Code review for Sprint 1 work</t>
  </si>
  <si>
    <t>Code is reviewed for quality, security, and maintainability.</t>
  </si>
  <si>
    <t>Review supports secure and ethical development.</t>
  </si>
  <si>
    <t>NFT-008</t>
  </si>
  <si>
    <t>FERPA compliance verification</t>
  </si>
  <si>
    <t>Student data access is reviewed for privacy alignment.</t>
  </si>
  <si>
    <t>Supports FERPA-focused privacy principles.</t>
  </si>
  <si>
    <t>NFT-009</t>
  </si>
  <si>
    <t>Role-based access testing</t>
  </si>
  <si>
    <t>Student, teacher, parent, and admin roles are tested.</t>
  </si>
  <si>
    <t>Prevents unauthorized access to school records.</t>
  </si>
  <si>
    <t>NFT-010</t>
  </si>
  <si>
    <t>Prepare Sprint 1 demo notes and feedback log</t>
  </si>
  <si>
    <t>Demo notes and stakeholder feedback are recorded.</t>
  </si>
  <si>
    <t>Keeps stakeholder feedback transparent and organized.</t>
  </si>
  <si>
    <t>Sprint Planning Summary</t>
  </si>
  <si>
    <t>Sprint</t>
  </si>
  <si>
    <t>Total Tasks</t>
  </si>
  <si>
    <t>Total Story Points</t>
  </si>
  <si>
    <t>Non-Functional Tasks</t>
  </si>
  <si>
    <t>Submission Notes</t>
  </si>
  <si>
    <t>This workbook includes prioritized Sprint 1 and Sprint 2 plans for the School Management System. Each sprint item includes a Task ID, Story ID, detailed task description, responsibility, Scrum Story Point estimate, acceptance criteria, and legal/ethical notes. Non-functional Scrum tasks such as planning meetings, Daily Scrums, product demos, Sprint Reviews, Retrospectives, testing, documentation, and security/privacy audits are included in each sprint.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</si>
</sst>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4"/>
      <color rgb="FFFFFFFF"/>
      <name val="Carlito"/>
    </font>
    <font>
      <b/>
      <sz val="11"/>
      <color rgb="FFFFFFFF"/>
      <name val="Carlito"/>
    </font>
    <font>
      <sz val="11"/>
      <name val="Calibri"/>
      <family val="2"/>
    </font>
    <font>
      <b/>
      <sz val="11"/>
      <name val="Carlito"/>
    </font>
  </fonts>
  <fills count="5">
    <fill>
      <patternFill patternType="none"/>
    </fill>
    <fill>
      <patternFill patternType="gray125"/>
    </fill>
    <fill>
      <patternFill patternType="solid">
        <fgColor rgb="FF0B5394"/>
      </patternFill>
    </fill>
    <fill>
      <patternFill patternType="solid">
        <fgColor rgb="FF1F2937"/>
      </patternFill>
    </fill>
    <fill>
      <patternFill patternType="solid">
        <fgColor rgb="FFD9EAD3"/>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3">
    <xf numFmtId="0" fontId="0" fillId="0" borderId="0" xfId="0"/>
    <xf numFmtId="0" fontId="3" fillId="0" borderId="0" xfId="0" applyFont="1" applyAlignment="1">
      <alignment vertical="top" wrapText="1"/>
    </xf>
    <xf numFmtId="0" fontId="2" fillId="3" borderId="1" xfId="0" applyFont="1" applyFill="1" applyBorder="1" applyAlignment="1">
      <alignment horizontal="center" vertical="center"/>
    </xf>
    <xf numFmtId="0" fontId="3" fillId="0" borderId="1" xfId="0" applyFont="1" applyBorder="1" applyAlignment="1">
      <alignment vertical="top" wrapText="1"/>
    </xf>
    <xf numFmtId="0" fontId="2" fillId="3" borderId="1" xfId="0" applyFont="1" applyFill="1" applyBorder="1" applyAlignment="1">
      <alignment horizontal="center" vertical="center" wrapText="1"/>
    </xf>
    <xf numFmtId="0" fontId="4" fillId="4" borderId="0" xfId="0" applyFont="1" applyFill="1" applyAlignment="1">
      <alignment horizontal="center" vertical="center" wrapText="1"/>
    </xf>
    <xf numFmtId="0" fontId="4" fillId="0" borderId="0" xfId="0" applyFont="1" applyAlignment="1">
      <alignment horizontal="center" wrapText="1"/>
    </xf>
    <xf numFmtId="0" fontId="0" fillId="0" borderId="0" xfId="0" applyAlignment="1">
      <alignment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0" fillId="0" borderId="0" xfId="0"/>
    <xf numFmtId="0" fontId="0" fillId="0" borderId="0" xfId="0" applyAlignment="1">
      <alignment wrapText="1"/>
    </xf>
    <xf numFmtId="0" fontId="2"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754063</xdr:colOff>
      <xdr:row>36</xdr:row>
      <xdr:rowOff>416718</xdr:rowOff>
    </xdr:from>
    <xdr:to>
      <xdr:col>23</xdr:col>
      <xdr:colOff>32323</xdr:colOff>
      <xdr:row>60</xdr:row>
      <xdr:rowOff>99218</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5476876" y="13196093"/>
          <a:ext cx="17792478" cy="4385469"/>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1511300</xdr:colOff>
      <xdr:row>45</xdr:row>
      <xdr:rowOff>190729</xdr:rowOff>
    </xdr:from>
    <xdr:to>
      <xdr:col>21</xdr:col>
      <xdr:colOff>0</xdr:colOff>
      <xdr:row>73</xdr:row>
      <xdr:rowOff>5053</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3340100" y="15176729"/>
          <a:ext cx="18554700" cy="5484385"/>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BacklogTable" displayName="ProductBacklogTable" ref="A1:G11">
  <tableColumns count="7">
    <tableColumn id="1" xr3:uid="{00000000-0010-0000-0000-000001000000}" name="Story ID"/>
    <tableColumn id="2" xr3:uid="{00000000-0010-0000-0000-000002000000}" name="Epic"/>
    <tableColumn id="3" xr3:uid="{00000000-0010-0000-0000-000003000000}" name="User Story"/>
    <tableColumn id="4" xr3:uid="{00000000-0010-0000-0000-000004000000}" name="Priority"/>
    <tableColumn id="5" xr3:uid="{00000000-0010-0000-0000-000005000000}" name="Acceptance Criteria"/>
    <tableColumn id="6" xr3:uid="{00000000-0010-0000-0000-000006000000}" name="Legal/Ethical Consideration"/>
    <tableColumn id="7" xr3:uid="{00000000-0010-0000-0000-000007000000}" name="Initial Estim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print1Table" displayName="Sprint1Table" ref="A8:V33">
  <tableColumns count="22">
    <tableColumn id="1" xr3:uid="{00000000-0010-0000-0100-000001000000}" name="Task ID"/>
    <tableColumn id="2" xr3:uid="{00000000-0010-0000-0100-000002000000}" name="Story ID"/>
    <tableColumn id="3" xr3:uid="{00000000-0010-0000-0100-000003000000}" name="Task Description"/>
    <tableColumn id="4" xr3:uid="{00000000-0010-0000-0100-000004000000}" name="Responsibility"/>
    <tableColumn id="5" xr3:uid="{00000000-0010-0000-0100-000005000000}" name="Initial Estimate"/>
    <tableColumn id="6" xr3:uid="{00000000-0010-0000-0100-000006000000}" name="Status"/>
    <tableColumn id="7" xr3:uid="{00000000-0010-0000-0100-000007000000}" name="Acceptance Criteria / Done When"/>
    <tableColumn id="8" xr3:uid="{00000000-0010-0000-0100-000008000000}" name="Legal/Ethical Notes"/>
    <tableColumn id="9" xr3:uid="{00000000-0010-0000-0100-000009000000}" name="Day 1"/>
    <tableColumn id="10" xr3:uid="{00000000-0010-0000-0100-00000A000000}" name="Day 2"/>
    <tableColumn id="11" xr3:uid="{00000000-0010-0000-0100-00000B000000}" name="Day 3"/>
    <tableColumn id="12" xr3:uid="{00000000-0010-0000-0100-00000C000000}" name="Day 4"/>
    <tableColumn id="13" xr3:uid="{00000000-0010-0000-0100-00000D000000}" name="Day 5"/>
    <tableColumn id="14" xr3:uid="{00000000-0010-0000-0100-00000E000000}" name="Day 6"/>
    <tableColumn id="15" xr3:uid="{00000000-0010-0000-0100-00000F000000}" name="Day 7"/>
    <tableColumn id="16" xr3:uid="{00000000-0010-0000-0100-000010000000}" name="Day 8"/>
    <tableColumn id="17" xr3:uid="{00000000-0010-0000-0100-000011000000}" name="Day 9"/>
    <tableColumn id="18" xr3:uid="{00000000-0010-0000-0100-000012000000}" name="Day 10"/>
    <tableColumn id="19" xr3:uid="{00000000-0010-0000-0100-000013000000}" name="Day 11"/>
    <tableColumn id="20" xr3:uid="{00000000-0010-0000-0100-000014000000}" name="Day 12"/>
    <tableColumn id="21" xr3:uid="{00000000-0010-0000-0100-000015000000}" name="Day 13"/>
    <tableColumn id="22" xr3:uid="{00000000-0010-0000-0100-000016000000}" name="Day 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print2Table" displayName="Sprint2Table" ref="A8:V31">
  <tableColumns count="22">
    <tableColumn id="1" xr3:uid="{00000000-0010-0000-0200-000001000000}" name="Task ID"/>
    <tableColumn id="2" xr3:uid="{00000000-0010-0000-0200-000002000000}" name="Story ID"/>
    <tableColumn id="3" xr3:uid="{00000000-0010-0000-0200-000003000000}" name="Task Description"/>
    <tableColumn id="4" xr3:uid="{00000000-0010-0000-0200-000004000000}" name="Responsibility"/>
    <tableColumn id="5" xr3:uid="{00000000-0010-0000-0200-000005000000}" name="Initial Estimate"/>
    <tableColumn id="6" xr3:uid="{00000000-0010-0000-0200-000006000000}" name="Status"/>
    <tableColumn id="7" xr3:uid="{00000000-0010-0000-0200-000007000000}" name="Acceptance Criteria / Done When"/>
    <tableColumn id="8" xr3:uid="{00000000-0010-0000-0200-000008000000}" name="Legal/Ethical Notes"/>
    <tableColumn id="9" xr3:uid="{00000000-0010-0000-0200-000009000000}" name="Day 1"/>
    <tableColumn id="10" xr3:uid="{00000000-0010-0000-0200-00000A000000}" name="Day 2"/>
    <tableColumn id="11" xr3:uid="{00000000-0010-0000-0200-00000B000000}" name="Day 3"/>
    <tableColumn id="12" xr3:uid="{00000000-0010-0000-0200-00000C000000}" name="Day 4"/>
    <tableColumn id="13" xr3:uid="{00000000-0010-0000-0200-00000D000000}" name="Day 5"/>
    <tableColumn id="14" xr3:uid="{00000000-0010-0000-0200-00000E000000}" name="Day 6"/>
    <tableColumn id="15" xr3:uid="{00000000-0010-0000-0200-00000F000000}" name="Day 7"/>
    <tableColumn id="16" xr3:uid="{00000000-0010-0000-0200-000010000000}" name="Day 8"/>
    <tableColumn id="17" xr3:uid="{00000000-0010-0000-0200-000011000000}" name="Day 9"/>
    <tableColumn id="18" xr3:uid="{00000000-0010-0000-0200-000012000000}" name="Day 10"/>
    <tableColumn id="19" xr3:uid="{00000000-0010-0000-0200-000013000000}" name="Day 11"/>
    <tableColumn id="20" xr3:uid="{00000000-0010-0000-0200-000014000000}" name="Day 12"/>
    <tableColumn id="21" xr3:uid="{00000000-0010-0000-0200-000015000000}" name="Day 13"/>
    <tableColumn id="22" xr3:uid="{00000000-0010-0000-0200-000016000000}" name="Day 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ummaryTable" displayName="SummaryTable" ref="A3:D5">
  <tableColumns count="4">
    <tableColumn id="1" xr3:uid="{00000000-0010-0000-0300-000001000000}" name="Sprint"/>
    <tableColumn id="2" xr3:uid="{00000000-0010-0000-0300-000002000000}" name="Total Tasks"/>
    <tableColumn id="3" xr3:uid="{00000000-0010-0000-0300-000003000000}" name="Total Story Points"/>
    <tableColumn id="4" xr3:uid="{00000000-0010-0000-0300-000004000000}" name="Non-Functional Task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workbookViewId="0">
      <selection sqref="A1:H1"/>
    </sheetView>
  </sheetViews>
  <sheetFormatPr defaultColWidth="8.83203125" defaultRowHeight="14"/>
  <cols>
    <col min="1" max="1" width="28" customWidth="1"/>
    <col min="2" max="8" width="18" customWidth="1"/>
  </cols>
  <sheetData>
    <row r="1" spans="1:8">
      <c r="A1" s="9" t="s">
        <v>134</v>
      </c>
      <c r="B1" s="10"/>
      <c r="C1" s="10"/>
      <c r="D1" s="10"/>
      <c r="E1" s="10"/>
      <c r="F1" s="10"/>
      <c r="G1" s="10"/>
      <c r="H1" s="10"/>
    </row>
    <row r="2" spans="1:8">
      <c r="A2" s="7"/>
      <c r="B2" s="7"/>
      <c r="C2" s="7"/>
      <c r="D2" s="7"/>
      <c r="E2" s="7"/>
      <c r="F2" s="7"/>
      <c r="G2" s="7"/>
      <c r="H2" s="7"/>
    </row>
    <row r="3" spans="1:8">
      <c r="A3" s="8" t="s">
        <v>135</v>
      </c>
      <c r="B3" s="7"/>
      <c r="C3" s="7"/>
      <c r="D3" s="7"/>
      <c r="E3" s="7"/>
      <c r="F3" s="7"/>
      <c r="G3" s="7"/>
      <c r="H3" s="7"/>
    </row>
    <row r="4" spans="1:8">
      <c r="A4" s="11" t="s">
        <v>136</v>
      </c>
      <c r="B4" s="10"/>
      <c r="C4" s="10"/>
      <c r="D4" s="10"/>
      <c r="E4" s="10"/>
      <c r="F4" s="10"/>
      <c r="G4" s="10"/>
      <c r="H4" s="10"/>
    </row>
    <row r="5" spans="1:8">
      <c r="A5" s="10"/>
      <c r="B5" s="10"/>
      <c r="C5" s="10"/>
      <c r="D5" s="10"/>
      <c r="E5" s="10"/>
      <c r="F5" s="10"/>
      <c r="G5" s="10"/>
      <c r="H5" s="10"/>
    </row>
    <row r="6" spans="1:8">
      <c r="A6" s="10"/>
      <c r="B6" s="10"/>
      <c r="C6" s="10"/>
      <c r="D6" s="10"/>
      <c r="E6" s="10"/>
      <c r="F6" s="10"/>
      <c r="G6" s="10"/>
      <c r="H6" s="10"/>
    </row>
    <row r="7" spans="1:8">
      <c r="A7" s="7"/>
      <c r="B7" s="7"/>
      <c r="C7" s="7"/>
      <c r="D7" s="7"/>
      <c r="E7" s="7"/>
      <c r="F7" s="7"/>
      <c r="G7" s="7"/>
      <c r="H7" s="7"/>
    </row>
    <row r="8" spans="1:8">
      <c r="A8" s="8" t="s">
        <v>137</v>
      </c>
      <c r="B8" s="7"/>
      <c r="C8" s="7"/>
      <c r="D8" s="7"/>
      <c r="E8" s="7"/>
      <c r="F8" s="7"/>
      <c r="G8" s="7"/>
      <c r="H8" s="7"/>
    </row>
    <row r="9" spans="1:8">
      <c r="A9" s="11" t="s">
        <v>138</v>
      </c>
      <c r="B9" s="10"/>
      <c r="C9" s="10"/>
      <c r="D9" s="10"/>
      <c r="E9" s="10"/>
      <c r="F9" s="10"/>
      <c r="G9" s="10"/>
      <c r="H9" s="10"/>
    </row>
    <row r="10" spans="1:8">
      <c r="A10" s="10"/>
      <c r="B10" s="10"/>
      <c r="C10" s="10"/>
      <c r="D10" s="10"/>
      <c r="E10" s="10"/>
      <c r="F10" s="10"/>
      <c r="G10" s="10"/>
      <c r="H10" s="10"/>
    </row>
    <row r="11" spans="1:8">
      <c r="A11" s="10"/>
      <c r="B11" s="10"/>
      <c r="C11" s="10"/>
      <c r="D11" s="10"/>
      <c r="E11" s="10"/>
      <c r="F11" s="10"/>
      <c r="G11" s="10"/>
      <c r="H11" s="10"/>
    </row>
    <row r="12" spans="1:8">
      <c r="A12" s="10"/>
      <c r="B12" s="10"/>
      <c r="C12" s="10"/>
      <c r="D12" s="10"/>
      <c r="E12" s="10"/>
      <c r="F12" s="10"/>
      <c r="G12" s="10"/>
      <c r="H12" s="10"/>
    </row>
    <row r="13" spans="1:8">
      <c r="A13" s="7"/>
      <c r="B13" s="7"/>
      <c r="C13" s="7"/>
      <c r="D13" s="7"/>
      <c r="E13" s="7"/>
      <c r="F13" s="7"/>
      <c r="G13" s="7"/>
      <c r="H13" s="7"/>
    </row>
    <row r="14" spans="1:8" ht="28">
      <c r="A14" s="8" t="s">
        <v>139</v>
      </c>
      <c r="B14" s="7"/>
      <c r="C14" s="7"/>
      <c r="D14" s="7"/>
      <c r="E14" s="7"/>
      <c r="F14" s="7"/>
      <c r="G14" s="7"/>
      <c r="H14" s="7"/>
    </row>
    <row r="15" spans="1:8">
      <c r="A15" s="11" t="s">
        <v>140</v>
      </c>
      <c r="B15" s="10"/>
      <c r="C15" s="10"/>
      <c r="D15" s="10"/>
      <c r="E15" s="10"/>
      <c r="F15" s="10"/>
      <c r="G15" s="10"/>
      <c r="H15" s="10"/>
    </row>
    <row r="16" spans="1:8">
      <c r="A16" s="10"/>
      <c r="B16" s="10"/>
      <c r="C16" s="10"/>
      <c r="D16" s="10"/>
      <c r="E16" s="10"/>
      <c r="F16" s="10"/>
      <c r="G16" s="10"/>
      <c r="H16" s="10"/>
    </row>
    <row r="17" spans="1:8">
      <c r="A17" s="10"/>
      <c r="B17" s="10"/>
      <c r="C17" s="10"/>
      <c r="D17" s="10"/>
      <c r="E17" s="10"/>
      <c r="F17" s="10"/>
      <c r="G17" s="10"/>
      <c r="H17" s="10"/>
    </row>
    <row r="18" spans="1:8">
      <c r="A18" s="10"/>
      <c r="B18" s="10"/>
      <c r="C18" s="10"/>
      <c r="D18" s="10"/>
      <c r="E18" s="10"/>
      <c r="F18" s="10"/>
      <c r="G18" s="10"/>
      <c r="H18" s="10"/>
    </row>
  </sheetData>
  <mergeCells count="4">
    <mergeCell ref="A9:H12"/>
    <mergeCell ref="A1:H1"/>
    <mergeCell ref="A15:H18"/>
    <mergeCell ref="A4:H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workbookViewId="0"/>
  </sheetViews>
  <sheetFormatPr defaultColWidth="8.83203125" defaultRowHeight="14"/>
  <cols>
    <col min="1" max="1" width="12" customWidth="1"/>
    <col min="2" max="2" width="22.08203125" customWidth="1"/>
    <col min="3" max="3" width="46" customWidth="1"/>
    <col min="4" max="4" width="12" customWidth="1"/>
    <col min="5" max="6" width="39.9140625" customWidth="1"/>
    <col min="7" max="7" width="14.9140625" customWidth="1"/>
  </cols>
  <sheetData>
    <row r="1" spans="1:7">
      <c r="A1" s="2" t="s">
        <v>7</v>
      </c>
      <c r="B1" s="2" t="s">
        <v>141</v>
      </c>
      <c r="C1" s="2" t="s">
        <v>142</v>
      </c>
      <c r="D1" s="2" t="s">
        <v>143</v>
      </c>
      <c r="E1" s="2" t="s">
        <v>144</v>
      </c>
      <c r="F1" s="2" t="s">
        <v>145</v>
      </c>
      <c r="G1" s="2" t="s">
        <v>10</v>
      </c>
    </row>
    <row r="2" spans="1:7" ht="27.75" customHeight="1">
      <c r="A2" s="3" t="s">
        <v>146</v>
      </c>
      <c r="B2" s="3" t="s">
        <v>147</v>
      </c>
      <c r="C2" s="3" t="s">
        <v>148</v>
      </c>
      <c r="D2" s="3" t="s">
        <v>149</v>
      </c>
      <c r="E2" s="3" t="s">
        <v>150</v>
      </c>
      <c r="F2" s="3" t="s">
        <v>151</v>
      </c>
      <c r="G2" s="3">
        <v>8</v>
      </c>
    </row>
    <row r="3" spans="1:7" ht="27.75" customHeight="1">
      <c r="A3" s="3" t="s">
        <v>152</v>
      </c>
      <c r="B3" s="3" t="s">
        <v>153</v>
      </c>
      <c r="C3" s="3" t="s">
        <v>154</v>
      </c>
      <c r="D3" s="3" t="s">
        <v>149</v>
      </c>
      <c r="E3" s="3" t="s">
        <v>155</v>
      </c>
      <c r="F3" s="3" t="s">
        <v>156</v>
      </c>
      <c r="G3" s="3">
        <v>5</v>
      </c>
    </row>
    <row r="4" spans="1:7" ht="27.75" customHeight="1">
      <c r="A4" s="3" t="s">
        <v>157</v>
      </c>
      <c r="B4" s="3" t="s">
        <v>158</v>
      </c>
      <c r="C4" s="3" t="s">
        <v>159</v>
      </c>
      <c r="D4" s="3" t="s">
        <v>149</v>
      </c>
      <c r="E4" s="3" t="s">
        <v>160</v>
      </c>
      <c r="F4" s="3" t="s">
        <v>161</v>
      </c>
      <c r="G4" s="3">
        <v>5</v>
      </c>
    </row>
    <row r="5" spans="1:7" ht="27.75" customHeight="1">
      <c r="A5" s="3" t="s">
        <v>162</v>
      </c>
      <c r="B5" s="3" t="s">
        <v>163</v>
      </c>
      <c r="C5" s="3" t="s">
        <v>164</v>
      </c>
      <c r="D5" s="3" t="s">
        <v>149</v>
      </c>
      <c r="E5" s="3" t="s">
        <v>165</v>
      </c>
      <c r="F5" s="3" t="s">
        <v>166</v>
      </c>
      <c r="G5" s="3">
        <v>8</v>
      </c>
    </row>
    <row r="6" spans="1:7" ht="27.75" customHeight="1">
      <c r="A6" s="3" t="s">
        <v>29</v>
      </c>
      <c r="B6" s="3" t="s">
        <v>167</v>
      </c>
      <c r="C6" s="3" t="s">
        <v>168</v>
      </c>
      <c r="D6" s="3" t="s">
        <v>149</v>
      </c>
      <c r="E6" s="3" t="s">
        <v>169</v>
      </c>
      <c r="F6" s="3" t="s">
        <v>170</v>
      </c>
      <c r="G6" s="3">
        <v>8</v>
      </c>
    </row>
    <row r="7" spans="1:7" ht="27.75" customHeight="1">
      <c r="A7" s="3" t="s">
        <v>44</v>
      </c>
      <c r="B7" s="3" t="s">
        <v>171</v>
      </c>
      <c r="C7" s="3" t="s">
        <v>172</v>
      </c>
      <c r="D7" s="3" t="s">
        <v>149</v>
      </c>
      <c r="E7" s="3" t="s">
        <v>173</v>
      </c>
      <c r="F7" s="3" t="s">
        <v>174</v>
      </c>
      <c r="G7" s="3">
        <v>8</v>
      </c>
    </row>
    <row r="8" spans="1:7" ht="27.75" customHeight="1">
      <c r="A8" s="3" t="s">
        <v>57</v>
      </c>
      <c r="B8" s="3" t="s">
        <v>175</v>
      </c>
      <c r="C8" s="3" t="s">
        <v>176</v>
      </c>
      <c r="D8" s="3" t="s">
        <v>177</v>
      </c>
      <c r="E8" s="3" t="s">
        <v>178</v>
      </c>
      <c r="F8" s="3" t="s">
        <v>179</v>
      </c>
      <c r="G8" s="3">
        <v>5</v>
      </c>
    </row>
    <row r="9" spans="1:7" ht="27.75" customHeight="1">
      <c r="A9" s="3" t="s">
        <v>66</v>
      </c>
      <c r="B9" s="3" t="s">
        <v>180</v>
      </c>
      <c r="C9" s="3" t="s">
        <v>181</v>
      </c>
      <c r="D9" s="3" t="s">
        <v>177</v>
      </c>
      <c r="E9" s="3" t="s">
        <v>182</v>
      </c>
      <c r="F9" s="3" t="s">
        <v>183</v>
      </c>
      <c r="G9" s="3">
        <v>5</v>
      </c>
    </row>
    <row r="10" spans="1:7" ht="27.75" customHeight="1">
      <c r="A10" s="3" t="s">
        <v>75</v>
      </c>
      <c r="B10" s="3" t="s">
        <v>184</v>
      </c>
      <c r="C10" s="3" t="s">
        <v>185</v>
      </c>
      <c r="D10" s="3" t="s">
        <v>177</v>
      </c>
      <c r="E10" s="3" t="s">
        <v>186</v>
      </c>
      <c r="F10" s="3" t="s">
        <v>187</v>
      </c>
      <c r="G10" s="3">
        <v>8</v>
      </c>
    </row>
    <row r="11" spans="1:7" ht="27.75" customHeight="1">
      <c r="A11" s="3" t="s">
        <v>84</v>
      </c>
      <c r="B11" s="3" t="s">
        <v>188</v>
      </c>
      <c r="C11" s="3" t="s">
        <v>189</v>
      </c>
      <c r="D11" s="3" t="s">
        <v>177</v>
      </c>
      <c r="E11" s="3" t="s">
        <v>190</v>
      </c>
      <c r="F11" s="3" t="s">
        <v>191</v>
      </c>
      <c r="G11" s="3">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8"/>
  <sheetViews>
    <sheetView tabSelected="1" zoomScale="64" workbookViewId="0">
      <selection activeCell="C5" sqref="C5"/>
    </sheetView>
  </sheetViews>
  <sheetFormatPr defaultColWidth="8.83203125" defaultRowHeight="14"/>
  <cols>
    <col min="1" max="2" width="12" customWidth="1"/>
    <col min="3" max="3" width="37.9140625" customWidth="1"/>
    <col min="4" max="4" width="18" customWidth="1"/>
    <col min="5" max="5" width="14.9140625" customWidth="1"/>
    <col min="6" max="6" width="14" customWidth="1"/>
    <col min="7" max="7" width="37.9140625" customWidth="1"/>
    <col min="8" max="8" width="36.08203125" customWidth="1"/>
    <col min="9" max="22" width="7.9140625" customWidth="1"/>
  </cols>
  <sheetData>
    <row r="1" spans="1:22">
      <c r="A1" s="9" t="s">
        <v>192</v>
      </c>
      <c r="B1" s="10"/>
      <c r="C1" s="10"/>
      <c r="D1" s="10"/>
      <c r="E1" s="10"/>
      <c r="F1" s="10"/>
      <c r="G1" s="10"/>
      <c r="H1" s="10"/>
      <c r="I1" s="10"/>
      <c r="J1" s="10"/>
      <c r="K1" s="10"/>
      <c r="L1" s="10"/>
      <c r="M1" s="10"/>
      <c r="N1" s="10"/>
      <c r="O1" s="10"/>
      <c r="P1" s="10"/>
      <c r="Q1" s="10"/>
      <c r="R1" s="10"/>
      <c r="S1" s="10"/>
      <c r="T1" s="10"/>
      <c r="U1" s="10"/>
      <c r="V1" s="10"/>
    </row>
    <row r="2" spans="1:22">
      <c r="A2" s="7"/>
      <c r="B2" s="7"/>
      <c r="C2" s="7"/>
      <c r="D2" s="7"/>
      <c r="E2" s="7"/>
      <c r="F2" s="7"/>
      <c r="G2" s="7"/>
      <c r="H2" s="7"/>
      <c r="I2" s="7"/>
      <c r="J2" s="7"/>
      <c r="K2" s="7"/>
      <c r="L2" s="7"/>
      <c r="M2" s="7"/>
      <c r="N2" s="7"/>
      <c r="O2" s="7"/>
      <c r="P2" s="7"/>
      <c r="Q2" s="7"/>
      <c r="R2" s="7"/>
      <c r="S2" s="7"/>
      <c r="T2" s="7"/>
      <c r="U2" s="7"/>
      <c r="V2" s="7"/>
    </row>
    <row r="3" spans="1:22" ht="41.25" customHeight="1">
      <c r="A3" s="8" t="s">
        <v>1</v>
      </c>
      <c r="B3" s="1" t="s">
        <v>2</v>
      </c>
      <c r="C3" s="7"/>
      <c r="D3" s="7"/>
      <c r="E3" s="7"/>
      <c r="F3" s="7"/>
      <c r="G3" s="7"/>
      <c r="H3" s="7"/>
      <c r="I3" s="7"/>
      <c r="J3" s="7"/>
      <c r="K3" s="7"/>
      <c r="L3" s="7"/>
      <c r="M3" s="7"/>
      <c r="N3" s="7"/>
      <c r="O3" s="7"/>
      <c r="P3" s="7"/>
      <c r="Q3" s="7"/>
      <c r="R3" s="7"/>
      <c r="S3" s="7"/>
      <c r="T3" s="7"/>
      <c r="U3" s="7"/>
      <c r="V3" s="7"/>
    </row>
    <row r="4" spans="1:22" ht="14.5">
      <c r="A4" s="8" t="s">
        <v>3</v>
      </c>
      <c r="B4" s="1">
        <v>1</v>
      </c>
      <c r="C4" s="7"/>
      <c r="D4" s="7"/>
      <c r="E4" s="7"/>
      <c r="F4" s="7"/>
      <c r="G4" s="7"/>
      <c r="H4" s="7"/>
      <c r="I4" s="7"/>
      <c r="J4" s="7"/>
      <c r="K4" s="7"/>
      <c r="L4" s="7"/>
      <c r="M4" s="7"/>
      <c r="N4" s="7"/>
      <c r="O4" s="7"/>
      <c r="P4" s="7"/>
      <c r="Q4" s="7"/>
      <c r="R4" s="7"/>
      <c r="S4" s="7"/>
      <c r="T4" s="7"/>
      <c r="U4" s="7"/>
      <c r="V4" s="7"/>
    </row>
    <row r="5" spans="1:22" ht="14.5">
      <c r="A5" s="8" t="s">
        <v>4</v>
      </c>
      <c r="B5" s="1"/>
      <c r="C5" s="7"/>
      <c r="D5" s="7"/>
      <c r="E5" s="7"/>
      <c r="F5" s="7"/>
      <c r="G5" s="7"/>
      <c r="H5" s="7"/>
      <c r="I5" s="7"/>
      <c r="J5" s="7"/>
      <c r="K5" s="7"/>
      <c r="L5" s="7"/>
      <c r="M5" s="7"/>
      <c r="N5" s="7"/>
      <c r="O5" s="7"/>
      <c r="P5" s="7"/>
      <c r="Q5" s="7"/>
      <c r="R5" s="7"/>
      <c r="S5" s="7"/>
      <c r="T5" s="7"/>
      <c r="U5" s="7"/>
      <c r="V5" s="7"/>
    </row>
    <row r="6" spans="1:22" ht="27.75" customHeight="1">
      <c r="A6" s="8" t="s">
        <v>5</v>
      </c>
      <c r="B6" s="1">
        <v>4</v>
      </c>
      <c r="C6" s="7"/>
      <c r="D6" s="7"/>
      <c r="E6" s="7"/>
      <c r="F6" s="7"/>
      <c r="G6" s="7"/>
      <c r="H6" s="7"/>
      <c r="I6" s="7"/>
      <c r="J6" s="7"/>
      <c r="K6" s="7"/>
      <c r="L6" s="7"/>
      <c r="M6" s="7"/>
      <c r="N6" s="7"/>
      <c r="O6" s="7"/>
      <c r="P6" s="7"/>
      <c r="Q6" s="7"/>
      <c r="R6" s="7"/>
      <c r="S6" s="7"/>
      <c r="T6" s="7"/>
      <c r="U6" s="7"/>
      <c r="V6" s="7"/>
    </row>
    <row r="7" spans="1:22">
      <c r="A7" s="7"/>
      <c r="B7" s="7"/>
      <c r="C7" s="7"/>
      <c r="D7" s="7"/>
      <c r="E7" s="7"/>
      <c r="F7" s="7"/>
      <c r="G7" s="7"/>
      <c r="H7" s="7"/>
      <c r="I7" s="7"/>
      <c r="J7" s="7"/>
      <c r="K7" s="7"/>
      <c r="L7" s="7"/>
      <c r="M7" s="7"/>
      <c r="N7" s="7"/>
      <c r="O7" s="7"/>
      <c r="P7" s="7"/>
      <c r="Q7" s="7"/>
      <c r="R7" s="7"/>
      <c r="S7" s="7"/>
      <c r="T7" s="7"/>
      <c r="U7" s="7"/>
      <c r="V7" s="7"/>
    </row>
    <row r="8" spans="1:22">
      <c r="A8" s="4" t="s">
        <v>6</v>
      </c>
      <c r="B8" s="4" t="s">
        <v>7</v>
      </c>
      <c r="C8" s="4" t="s">
        <v>8</v>
      </c>
      <c r="D8" s="4" t="s">
        <v>9</v>
      </c>
      <c r="E8" s="4" t="s">
        <v>10</v>
      </c>
      <c r="F8" s="4" t="s">
        <v>11</v>
      </c>
      <c r="G8" s="4" t="s">
        <v>12</v>
      </c>
      <c r="H8" s="4" t="s">
        <v>13</v>
      </c>
      <c r="I8" s="4" t="s">
        <v>14</v>
      </c>
      <c r="J8" s="4" t="s">
        <v>15</v>
      </c>
      <c r="K8" s="4" t="s">
        <v>16</v>
      </c>
      <c r="L8" s="4" t="s">
        <v>17</v>
      </c>
      <c r="M8" s="4" t="s">
        <v>18</v>
      </c>
      <c r="N8" s="4" t="s">
        <v>19</v>
      </c>
      <c r="O8" s="4" t="s">
        <v>20</v>
      </c>
      <c r="P8" s="4" t="s">
        <v>21</v>
      </c>
      <c r="Q8" s="4" t="s">
        <v>22</v>
      </c>
      <c r="R8" s="4" t="s">
        <v>23</v>
      </c>
      <c r="S8" s="4" t="s">
        <v>24</v>
      </c>
      <c r="T8" s="4" t="s">
        <v>25</v>
      </c>
      <c r="U8" s="4" t="s">
        <v>26</v>
      </c>
      <c r="V8" s="4" t="s">
        <v>27</v>
      </c>
    </row>
    <row r="9" spans="1:22" ht="27.75" customHeight="1">
      <c r="A9" s="3" t="s">
        <v>193</v>
      </c>
      <c r="B9" s="3" t="s">
        <v>146</v>
      </c>
      <c r="C9" s="3" t="s">
        <v>194</v>
      </c>
      <c r="D9" s="3" t="s">
        <v>31</v>
      </c>
      <c r="E9" s="3">
        <v>2</v>
      </c>
      <c r="F9" s="3" t="s">
        <v>195</v>
      </c>
      <c r="G9" s="3" t="s">
        <v>196</v>
      </c>
      <c r="H9" s="3" t="s">
        <v>197</v>
      </c>
      <c r="I9" s="3">
        <v>2</v>
      </c>
      <c r="J9" s="3"/>
      <c r="K9" s="3"/>
      <c r="L9" s="3"/>
      <c r="M9" s="3"/>
      <c r="N9" s="3"/>
      <c r="O9" s="3"/>
      <c r="P9" s="3"/>
      <c r="Q9" s="3"/>
      <c r="R9" s="3"/>
      <c r="S9" s="3"/>
      <c r="T9" s="3"/>
      <c r="U9" s="3"/>
      <c r="V9" s="3"/>
    </row>
    <row r="10" spans="1:22" ht="27.75" customHeight="1">
      <c r="A10" s="3" t="s">
        <v>198</v>
      </c>
      <c r="B10" s="3" t="s">
        <v>146</v>
      </c>
      <c r="C10" s="3" t="s">
        <v>199</v>
      </c>
      <c r="D10" s="3" t="s">
        <v>31</v>
      </c>
      <c r="E10" s="3">
        <v>2</v>
      </c>
      <c r="F10" s="3" t="s">
        <v>195</v>
      </c>
      <c r="G10" s="3" t="s">
        <v>200</v>
      </c>
      <c r="H10" s="3" t="s">
        <v>201</v>
      </c>
      <c r="I10" s="3">
        <v>2</v>
      </c>
      <c r="J10" s="3"/>
      <c r="K10" s="3"/>
      <c r="L10" s="3"/>
      <c r="M10" s="3"/>
      <c r="N10" s="3"/>
      <c r="O10" s="3"/>
      <c r="P10" s="3"/>
      <c r="Q10" s="3"/>
      <c r="R10" s="3"/>
      <c r="S10" s="3"/>
      <c r="T10" s="3"/>
      <c r="U10" s="3"/>
      <c r="V10" s="3"/>
    </row>
    <row r="11" spans="1:22" ht="27.75" customHeight="1">
      <c r="A11" s="3" t="s">
        <v>202</v>
      </c>
      <c r="B11" s="3" t="s">
        <v>146</v>
      </c>
      <c r="C11" s="3" t="s">
        <v>203</v>
      </c>
      <c r="D11" s="3" t="s">
        <v>31</v>
      </c>
      <c r="E11" s="3">
        <v>3</v>
      </c>
      <c r="F11" s="3" t="s">
        <v>195</v>
      </c>
      <c r="G11" s="3" t="s">
        <v>204</v>
      </c>
      <c r="H11" s="3" t="s">
        <v>205</v>
      </c>
      <c r="I11" s="3">
        <v>2</v>
      </c>
      <c r="J11" s="3">
        <v>1</v>
      </c>
      <c r="K11" s="3"/>
      <c r="L11" s="3"/>
      <c r="M11" s="3"/>
      <c r="N11" s="3"/>
      <c r="O11" s="3"/>
      <c r="P11" s="3"/>
      <c r="Q11" s="3"/>
      <c r="R11" s="3"/>
      <c r="S11" s="3"/>
      <c r="T11" s="3"/>
      <c r="U11" s="3"/>
      <c r="V11" s="3"/>
    </row>
    <row r="12" spans="1:22" ht="27.75" customHeight="1">
      <c r="A12" s="3" t="s">
        <v>206</v>
      </c>
      <c r="B12" s="3" t="s">
        <v>146</v>
      </c>
      <c r="C12" s="3" t="s">
        <v>207</v>
      </c>
      <c r="D12" s="3" t="s">
        <v>31</v>
      </c>
      <c r="E12" s="3">
        <v>3</v>
      </c>
      <c r="F12" s="3" t="s">
        <v>195</v>
      </c>
      <c r="G12" s="3" t="s">
        <v>208</v>
      </c>
      <c r="H12" s="3" t="s">
        <v>209</v>
      </c>
      <c r="I12" s="3"/>
      <c r="J12" s="3">
        <v>3</v>
      </c>
      <c r="K12" s="3"/>
      <c r="L12" s="3"/>
      <c r="M12" s="3"/>
      <c r="N12" s="3"/>
      <c r="O12" s="3"/>
      <c r="P12" s="3"/>
      <c r="Q12" s="3"/>
      <c r="R12" s="3"/>
      <c r="S12" s="3"/>
      <c r="T12" s="3"/>
      <c r="U12" s="3"/>
      <c r="V12" s="3"/>
    </row>
    <row r="13" spans="1:22" ht="27.75" customHeight="1">
      <c r="A13" s="3" t="s">
        <v>210</v>
      </c>
      <c r="B13" s="3" t="s">
        <v>146</v>
      </c>
      <c r="C13" s="3" t="s">
        <v>211</v>
      </c>
      <c r="D13" s="3" t="s">
        <v>31</v>
      </c>
      <c r="E13" s="3">
        <v>5</v>
      </c>
      <c r="F13" s="3" t="s">
        <v>195</v>
      </c>
      <c r="G13" s="3" t="s">
        <v>212</v>
      </c>
      <c r="H13" s="3" t="s">
        <v>213</v>
      </c>
      <c r="I13" s="3"/>
      <c r="J13" s="3">
        <v>2</v>
      </c>
      <c r="K13" s="3">
        <v>3</v>
      </c>
      <c r="L13" s="3"/>
      <c r="M13" s="3"/>
      <c r="N13" s="3"/>
      <c r="O13" s="3"/>
      <c r="P13" s="3"/>
      <c r="Q13" s="3"/>
      <c r="R13" s="3"/>
      <c r="S13" s="3"/>
      <c r="T13" s="3"/>
      <c r="U13" s="3"/>
      <c r="V13" s="3"/>
    </row>
    <row r="14" spans="1:22" ht="27.75" customHeight="1">
      <c r="A14" s="3" t="s">
        <v>214</v>
      </c>
      <c r="B14" s="3" t="s">
        <v>146</v>
      </c>
      <c r="C14" s="3" t="s">
        <v>215</v>
      </c>
      <c r="D14" s="3" t="s">
        <v>31</v>
      </c>
      <c r="E14" s="3">
        <v>2</v>
      </c>
      <c r="F14" s="3" t="s">
        <v>195</v>
      </c>
      <c r="G14" s="3" t="s">
        <v>216</v>
      </c>
      <c r="H14" s="3" t="s">
        <v>217</v>
      </c>
      <c r="I14" s="3"/>
      <c r="J14" s="3"/>
      <c r="K14" s="3">
        <v>2</v>
      </c>
      <c r="L14" s="3"/>
      <c r="M14" s="3"/>
      <c r="N14" s="3"/>
      <c r="O14" s="3"/>
      <c r="P14" s="3"/>
      <c r="Q14" s="3"/>
      <c r="R14" s="3"/>
      <c r="S14" s="3"/>
      <c r="T14" s="3"/>
      <c r="U14" s="3"/>
      <c r="V14" s="3"/>
    </row>
    <row r="15" spans="1:22" ht="27.75" customHeight="1">
      <c r="A15" s="3" t="s">
        <v>218</v>
      </c>
      <c r="B15" s="3" t="s">
        <v>146</v>
      </c>
      <c r="C15" s="3" t="s">
        <v>219</v>
      </c>
      <c r="D15" s="3" t="s">
        <v>31</v>
      </c>
      <c r="E15" s="3">
        <v>3</v>
      </c>
      <c r="F15" s="3" t="s">
        <v>195</v>
      </c>
      <c r="G15" s="3" t="s">
        <v>220</v>
      </c>
      <c r="H15" s="3" t="s">
        <v>221</v>
      </c>
      <c r="I15" s="3"/>
      <c r="J15" s="3"/>
      <c r="K15" s="3">
        <v>1</v>
      </c>
      <c r="L15" s="3">
        <v>2</v>
      </c>
      <c r="M15" s="3"/>
      <c r="N15" s="3"/>
      <c r="O15" s="3"/>
      <c r="P15" s="3"/>
      <c r="Q15" s="3"/>
      <c r="R15" s="3"/>
      <c r="S15" s="3"/>
      <c r="T15" s="3"/>
      <c r="U15" s="3"/>
      <c r="V15" s="3"/>
    </row>
    <row r="16" spans="1:22" ht="27.75" customHeight="1">
      <c r="A16" s="3" t="s">
        <v>222</v>
      </c>
      <c r="B16" s="3" t="s">
        <v>146</v>
      </c>
      <c r="C16" s="3" t="s">
        <v>223</v>
      </c>
      <c r="D16" s="3" t="s">
        <v>31</v>
      </c>
      <c r="E16" s="3">
        <v>2</v>
      </c>
      <c r="F16" s="3" t="s">
        <v>195</v>
      </c>
      <c r="G16" s="3" t="s">
        <v>224</v>
      </c>
      <c r="H16" s="3" t="s">
        <v>225</v>
      </c>
      <c r="I16" s="3"/>
      <c r="J16" s="3"/>
      <c r="K16" s="3"/>
      <c r="L16" s="3">
        <v>2</v>
      </c>
      <c r="M16" s="3"/>
      <c r="N16" s="3"/>
      <c r="O16" s="3"/>
      <c r="P16" s="3"/>
      <c r="Q16" s="3"/>
      <c r="R16" s="3"/>
      <c r="S16" s="3"/>
      <c r="T16" s="3"/>
      <c r="U16" s="3"/>
      <c r="V16" s="3"/>
    </row>
    <row r="17" spans="1:22" ht="14.5">
      <c r="A17" s="3" t="s">
        <v>226</v>
      </c>
      <c r="B17" s="3" t="s">
        <v>152</v>
      </c>
      <c r="C17" s="3" t="s">
        <v>227</v>
      </c>
      <c r="D17" s="3" t="s">
        <v>31</v>
      </c>
      <c r="E17" s="3">
        <v>3</v>
      </c>
      <c r="F17" s="3" t="s">
        <v>195</v>
      </c>
      <c r="G17" s="3" t="s">
        <v>228</v>
      </c>
      <c r="H17" s="3" t="s">
        <v>229</v>
      </c>
      <c r="I17" s="3"/>
      <c r="J17" s="3"/>
      <c r="K17" s="3"/>
      <c r="L17" s="3">
        <v>2</v>
      </c>
      <c r="M17" s="3">
        <v>1</v>
      </c>
      <c r="N17" s="3"/>
      <c r="O17" s="3"/>
      <c r="P17" s="3"/>
      <c r="Q17" s="3"/>
      <c r="R17" s="3"/>
      <c r="S17" s="3"/>
      <c r="T17" s="3"/>
      <c r="U17" s="3"/>
      <c r="V17" s="3"/>
    </row>
    <row r="18" spans="1:22" ht="27.75" customHeight="1">
      <c r="A18" s="3" t="s">
        <v>230</v>
      </c>
      <c r="B18" s="3" t="s">
        <v>152</v>
      </c>
      <c r="C18" s="3" t="s">
        <v>231</v>
      </c>
      <c r="D18" s="3" t="s">
        <v>31</v>
      </c>
      <c r="E18" s="3">
        <v>2</v>
      </c>
      <c r="F18" s="3" t="s">
        <v>195</v>
      </c>
      <c r="G18" s="3" t="s">
        <v>232</v>
      </c>
      <c r="H18" s="3" t="s">
        <v>233</v>
      </c>
      <c r="I18" s="3"/>
      <c r="J18" s="3"/>
      <c r="K18" s="3"/>
      <c r="L18" s="3"/>
      <c r="M18" s="3">
        <v>2</v>
      </c>
      <c r="N18" s="3"/>
      <c r="O18" s="3"/>
      <c r="P18" s="3"/>
      <c r="Q18" s="3"/>
      <c r="R18" s="3"/>
      <c r="S18" s="3"/>
      <c r="T18" s="3"/>
      <c r="U18" s="3"/>
      <c r="V18" s="3"/>
    </row>
    <row r="19" spans="1:22" ht="27.75" customHeight="1">
      <c r="A19" s="3" t="s">
        <v>234</v>
      </c>
      <c r="B19" s="3" t="s">
        <v>152</v>
      </c>
      <c r="C19" s="3" t="s">
        <v>235</v>
      </c>
      <c r="D19" s="3" t="s">
        <v>31</v>
      </c>
      <c r="E19" s="3">
        <v>3</v>
      </c>
      <c r="F19" s="3" t="s">
        <v>195</v>
      </c>
      <c r="G19" s="3" t="s">
        <v>236</v>
      </c>
      <c r="H19" s="3" t="s">
        <v>237</v>
      </c>
      <c r="I19" s="3"/>
      <c r="J19" s="3"/>
      <c r="K19" s="3"/>
      <c r="L19" s="3"/>
      <c r="M19" s="3">
        <v>3</v>
      </c>
      <c r="N19" s="3"/>
      <c r="O19" s="3"/>
      <c r="P19" s="3"/>
      <c r="Q19" s="3"/>
      <c r="R19" s="3"/>
      <c r="S19" s="3"/>
      <c r="T19" s="3"/>
      <c r="U19" s="3"/>
      <c r="V19" s="3"/>
    </row>
    <row r="20" spans="1:22" ht="27.75" customHeight="1">
      <c r="A20" s="3" t="s">
        <v>238</v>
      </c>
      <c r="B20" s="3" t="s">
        <v>152</v>
      </c>
      <c r="C20" s="3" t="s">
        <v>239</v>
      </c>
      <c r="D20" s="3" t="s">
        <v>31</v>
      </c>
      <c r="E20" s="3">
        <v>2</v>
      </c>
      <c r="F20" s="3" t="s">
        <v>195</v>
      </c>
      <c r="G20" s="3" t="s">
        <v>240</v>
      </c>
      <c r="H20" s="3" t="s">
        <v>241</v>
      </c>
      <c r="I20" s="3"/>
      <c r="J20" s="3"/>
      <c r="K20" s="3"/>
      <c r="L20" s="3"/>
      <c r="M20" s="3"/>
      <c r="N20" s="3">
        <v>2</v>
      </c>
      <c r="O20" s="3"/>
      <c r="P20" s="3"/>
      <c r="Q20" s="3"/>
      <c r="R20" s="3"/>
      <c r="S20" s="3"/>
      <c r="T20" s="3"/>
      <c r="U20" s="3"/>
      <c r="V20" s="3"/>
    </row>
    <row r="21" spans="1:22" ht="27.75" customHeight="1">
      <c r="A21" s="3" t="s">
        <v>242</v>
      </c>
      <c r="B21" s="3" t="s">
        <v>157</v>
      </c>
      <c r="C21" s="3" t="s">
        <v>243</v>
      </c>
      <c r="D21" s="3" t="s">
        <v>31</v>
      </c>
      <c r="E21" s="3">
        <v>5</v>
      </c>
      <c r="F21" s="3" t="s">
        <v>195</v>
      </c>
      <c r="G21" s="3" t="s">
        <v>244</v>
      </c>
      <c r="H21" s="3" t="s">
        <v>245</v>
      </c>
      <c r="I21" s="3"/>
      <c r="J21" s="3"/>
      <c r="K21" s="3"/>
      <c r="L21" s="3"/>
      <c r="M21" s="3"/>
      <c r="N21" s="3">
        <v>4</v>
      </c>
      <c r="O21" s="3">
        <v>1</v>
      </c>
      <c r="P21" s="3"/>
      <c r="Q21" s="3"/>
      <c r="R21" s="3"/>
      <c r="S21" s="3"/>
      <c r="T21" s="3"/>
      <c r="U21" s="3"/>
      <c r="V21" s="3"/>
    </row>
    <row r="22" spans="1:22" ht="27.75" customHeight="1">
      <c r="A22" s="3" t="s">
        <v>246</v>
      </c>
      <c r="B22" s="3" t="s">
        <v>157</v>
      </c>
      <c r="C22" s="3" t="s">
        <v>247</v>
      </c>
      <c r="D22" s="3" t="s">
        <v>31</v>
      </c>
      <c r="E22" s="3">
        <v>3</v>
      </c>
      <c r="F22" s="3" t="s">
        <v>195</v>
      </c>
      <c r="G22" s="3" t="s">
        <v>248</v>
      </c>
      <c r="H22" s="3" t="s">
        <v>249</v>
      </c>
      <c r="I22" s="3"/>
      <c r="J22" s="3"/>
      <c r="K22" s="3"/>
      <c r="L22" s="3"/>
      <c r="M22" s="3"/>
      <c r="N22" s="3"/>
      <c r="O22" s="3">
        <v>3</v>
      </c>
      <c r="P22" s="3"/>
      <c r="Q22" s="3"/>
      <c r="R22" s="3"/>
      <c r="S22" s="3"/>
      <c r="T22" s="3"/>
      <c r="U22" s="3"/>
      <c r="V22" s="3"/>
    </row>
    <row r="23" spans="1:22" ht="27.75" customHeight="1">
      <c r="A23" s="3" t="s">
        <v>250</v>
      </c>
      <c r="B23" s="3" t="s">
        <v>162</v>
      </c>
      <c r="C23" s="3" t="s">
        <v>251</v>
      </c>
      <c r="D23" s="3" t="s">
        <v>31</v>
      </c>
      <c r="E23" s="3">
        <v>5</v>
      </c>
      <c r="F23" s="3" t="s">
        <v>252</v>
      </c>
      <c r="G23" s="3" t="s">
        <v>253</v>
      </c>
      <c r="H23" s="3" t="s">
        <v>254</v>
      </c>
      <c r="I23" s="3"/>
      <c r="J23" s="3"/>
      <c r="K23" s="3"/>
      <c r="L23" s="3"/>
      <c r="M23" s="3"/>
      <c r="N23" s="3"/>
      <c r="O23" s="3">
        <v>2</v>
      </c>
      <c r="P23" s="3"/>
      <c r="Q23" s="3"/>
      <c r="R23" s="3"/>
      <c r="S23" s="3"/>
      <c r="T23" s="3"/>
      <c r="U23" s="3"/>
      <c r="V23" s="3"/>
    </row>
    <row r="24" spans="1:22" ht="27.75" customHeight="1">
      <c r="A24" s="3" t="s">
        <v>255</v>
      </c>
      <c r="B24" s="3" t="s">
        <v>89</v>
      </c>
      <c r="C24" s="3" t="s">
        <v>256</v>
      </c>
      <c r="D24" s="3" t="s">
        <v>91</v>
      </c>
      <c r="E24" s="3">
        <v>2</v>
      </c>
      <c r="F24" s="3" t="s">
        <v>252</v>
      </c>
      <c r="G24" s="3" t="s">
        <v>257</v>
      </c>
      <c r="H24" s="3" t="s">
        <v>258</v>
      </c>
      <c r="I24" s="3"/>
      <c r="J24" s="3"/>
      <c r="K24" s="3"/>
      <c r="L24" s="3"/>
      <c r="M24" s="3"/>
      <c r="N24" s="3"/>
      <c r="O24" s="3"/>
      <c r="P24" s="3"/>
      <c r="Q24" s="3"/>
      <c r="R24" s="3"/>
      <c r="S24" s="3"/>
      <c r="T24" s="3"/>
      <c r="U24" s="3"/>
      <c r="V24" s="3"/>
    </row>
    <row r="25" spans="1:22" ht="27.75" customHeight="1">
      <c r="A25" s="3" t="s">
        <v>259</v>
      </c>
      <c r="B25" s="3" t="s">
        <v>89</v>
      </c>
      <c r="C25" s="3" t="s">
        <v>260</v>
      </c>
      <c r="D25" s="3" t="s">
        <v>91</v>
      </c>
      <c r="E25" s="3">
        <v>3</v>
      </c>
      <c r="F25" s="3" t="s">
        <v>252</v>
      </c>
      <c r="G25" s="3" t="s">
        <v>261</v>
      </c>
      <c r="H25" s="3" t="s">
        <v>262</v>
      </c>
      <c r="I25" s="3"/>
      <c r="J25" s="3"/>
      <c r="K25" s="3"/>
      <c r="L25" s="3"/>
      <c r="M25" s="3"/>
      <c r="N25" s="3"/>
      <c r="O25" s="3"/>
      <c r="P25" s="3"/>
      <c r="Q25" s="3"/>
      <c r="R25" s="3"/>
      <c r="S25" s="3"/>
      <c r="T25" s="3"/>
      <c r="U25" s="3"/>
      <c r="V25" s="3"/>
    </row>
    <row r="26" spans="1:22" ht="27.75" customHeight="1">
      <c r="A26" s="3" t="s">
        <v>263</v>
      </c>
      <c r="B26" s="3" t="s">
        <v>89</v>
      </c>
      <c r="C26" s="3" t="s">
        <v>264</v>
      </c>
      <c r="D26" s="3" t="s">
        <v>91</v>
      </c>
      <c r="E26" s="3">
        <v>2</v>
      </c>
      <c r="F26" s="3" t="s">
        <v>252</v>
      </c>
      <c r="G26" s="3" t="s">
        <v>265</v>
      </c>
      <c r="H26" s="3" t="s">
        <v>266</v>
      </c>
      <c r="I26" s="3"/>
      <c r="J26" s="3"/>
      <c r="K26" s="3"/>
      <c r="L26" s="3"/>
      <c r="M26" s="3"/>
      <c r="N26" s="3"/>
      <c r="O26" s="3"/>
      <c r="P26" s="3"/>
      <c r="Q26" s="3"/>
      <c r="R26" s="3"/>
      <c r="S26" s="3"/>
      <c r="T26" s="3"/>
      <c r="U26" s="3"/>
      <c r="V26" s="3"/>
    </row>
    <row r="27" spans="1:22" ht="27.75" customHeight="1">
      <c r="A27" s="3" t="s">
        <v>267</v>
      </c>
      <c r="B27" s="3" t="s">
        <v>89</v>
      </c>
      <c r="C27" s="3" t="s">
        <v>268</v>
      </c>
      <c r="D27" s="3" t="s">
        <v>91</v>
      </c>
      <c r="E27" s="3">
        <v>2</v>
      </c>
      <c r="F27" s="3" t="s">
        <v>252</v>
      </c>
      <c r="G27" s="3" t="s">
        <v>269</v>
      </c>
      <c r="H27" s="3" t="s">
        <v>270</v>
      </c>
      <c r="I27" s="3"/>
      <c r="J27" s="3"/>
      <c r="K27" s="3"/>
      <c r="L27" s="3"/>
      <c r="M27" s="3"/>
      <c r="N27" s="3"/>
      <c r="O27" s="3"/>
      <c r="P27" s="3"/>
      <c r="Q27" s="3"/>
      <c r="R27" s="3"/>
      <c r="S27" s="3"/>
      <c r="T27" s="3"/>
      <c r="U27" s="3"/>
      <c r="V27" s="3"/>
    </row>
    <row r="28" spans="1:22" ht="27.75" customHeight="1">
      <c r="A28" s="3" t="s">
        <v>271</v>
      </c>
      <c r="B28" s="3" t="s">
        <v>89</v>
      </c>
      <c r="C28" s="3" t="s">
        <v>272</v>
      </c>
      <c r="D28" s="3" t="s">
        <v>31</v>
      </c>
      <c r="E28" s="3">
        <v>2</v>
      </c>
      <c r="F28" s="3" t="s">
        <v>252</v>
      </c>
      <c r="G28" s="3" t="s">
        <v>273</v>
      </c>
      <c r="H28" s="3" t="s">
        <v>274</v>
      </c>
      <c r="I28" s="3"/>
      <c r="J28" s="3"/>
      <c r="K28" s="3"/>
      <c r="L28" s="3"/>
      <c r="M28" s="3"/>
      <c r="N28" s="3"/>
      <c r="O28" s="3"/>
      <c r="P28" s="3"/>
      <c r="Q28" s="3"/>
      <c r="R28" s="3"/>
      <c r="S28" s="3"/>
      <c r="T28" s="3"/>
      <c r="U28" s="3"/>
      <c r="V28" s="3"/>
    </row>
    <row r="29" spans="1:22" ht="27.75" customHeight="1">
      <c r="A29" s="3" t="s">
        <v>275</v>
      </c>
      <c r="B29" s="3" t="s">
        <v>89</v>
      </c>
      <c r="C29" s="3" t="s">
        <v>276</v>
      </c>
      <c r="D29" s="3" t="s">
        <v>31</v>
      </c>
      <c r="E29" s="3">
        <v>3</v>
      </c>
      <c r="F29" s="3" t="s">
        <v>252</v>
      </c>
      <c r="G29" s="3" t="s">
        <v>277</v>
      </c>
      <c r="H29" s="3" t="s">
        <v>278</v>
      </c>
      <c r="I29" s="3"/>
      <c r="J29" s="3"/>
      <c r="K29" s="3"/>
      <c r="L29" s="3"/>
      <c r="M29" s="3"/>
      <c r="N29" s="3"/>
      <c r="O29" s="3"/>
      <c r="P29" s="3"/>
      <c r="Q29" s="3"/>
      <c r="R29" s="3"/>
      <c r="S29" s="3"/>
      <c r="T29" s="3"/>
      <c r="U29" s="3"/>
      <c r="V29" s="3"/>
    </row>
    <row r="30" spans="1:22" ht="27.75" customHeight="1">
      <c r="A30" s="3" t="s">
        <v>279</v>
      </c>
      <c r="B30" s="3" t="s">
        <v>89</v>
      </c>
      <c r="C30" s="3" t="s">
        <v>280</v>
      </c>
      <c r="D30" s="3" t="s">
        <v>31</v>
      </c>
      <c r="E30" s="3">
        <v>2</v>
      </c>
      <c r="F30" s="3" t="s">
        <v>252</v>
      </c>
      <c r="G30" s="3" t="s">
        <v>281</v>
      </c>
      <c r="H30" s="3" t="s">
        <v>282</v>
      </c>
      <c r="I30" s="3"/>
      <c r="J30" s="3"/>
      <c r="K30" s="3"/>
      <c r="L30" s="3"/>
      <c r="M30" s="3"/>
      <c r="N30" s="3"/>
      <c r="O30" s="3"/>
      <c r="P30" s="3"/>
      <c r="Q30" s="3"/>
      <c r="R30" s="3"/>
      <c r="S30" s="3"/>
      <c r="T30" s="3"/>
      <c r="U30" s="3"/>
      <c r="V30" s="3"/>
    </row>
    <row r="31" spans="1:22" ht="27.75" customHeight="1">
      <c r="A31" s="3" t="s">
        <v>283</v>
      </c>
      <c r="B31" s="3" t="s">
        <v>89</v>
      </c>
      <c r="C31" s="3" t="s">
        <v>284</v>
      </c>
      <c r="D31" s="3" t="s">
        <v>31</v>
      </c>
      <c r="E31" s="3">
        <v>3</v>
      </c>
      <c r="F31" s="3" t="s">
        <v>252</v>
      </c>
      <c r="G31" s="3" t="s">
        <v>285</v>
      </c>
      <c r="H31" s="3" t="s">
        <v>286</v>
      </c>
      <c r="I31" s="3"/>
      <c r="J31" s="3"/>
      <c r="K31" s="3"/>
      <c r="L31" s="3"/>
      <c r="M31" s="3"/>
      <c r="N31" s="3"/>
      <c r="O31" s="3"/>
      <c r="P31" s="3"/>
      <c r="Q31" s="3"/>
      <c r="R31" s="3"/>
      <c r="S31" s="3"/>
      <c r="T31" s="3"/>
      <c r="U31" s="3"/>
      <c r="V31" s="3"/>
    </row>
    <row r="32" spans="1:22" ht="27.75" customHeight="1">
      <c r="A32" s="3" t="s">
        <v>287</v>
      </c>
      <c r="B32" s="3" t="s">
        <v>89</v>
      </c>
      <c r="C32" s="3" t="s">
        <v>288</v>
      </c>
      <c r="D32" s="3" t="s">
        <v>31</v>
      </c>
      <c r="E32" s="3">
        <v>2</v>
      </c>
      <c r="F32" s="3" t="s">
        <v>252</v>
      </c>
      <c r="G32" s="3" t="s">
        <v>289</v>
      </c>
      <c r="H32" s="3" t="s">
        <v>290</v>
      </c>
      <c r="I32" s="3"/>
      <c r="J32" s="3"/>
      <c r="K32" s="3"/>
      <c r="L32" s="3"/>
      <c r="M32" s="3"/>
      <c r="N32" s="3"/>
      <c r="O32" s="3"/>
      <c r="P32" s="3"/>
      <c r="Q32" s="3"/>
      <c r="R32" s="3"/>
      <c r="S32" s="3"/>
      <c r="T32" s="3"/>
      <c r="U32" s="3"/>
      <c r="V32" s="3"/>
    </row>
    <row r="33" spans="1:22" ht="27.75" customHeight="1">
      <c r="A33" s="3" t="s">
        <v>291</v>
      </c>
      <c r="B33" s="3" t="s">
        <v>89</v>
      </c>
      <c r="C33" s="3" t="s">
        <v>292</v>
      </c>
      <c r="D33" s="3" t="s">
        <v>91</v>
      </c>
      <c r="E33" s="3">
        <v>2</v>
      </c>
      <c r="F33" s="3" t="s">
        <v>252</v>
      </c>
      <c r="G33" s="3" t="s">
        <v>293</v>
      </c>
      <c r="H33" s="3" t="s">
        <v>294</v>
      </c>
      <c r="I33" s="3"/>
      <c r="J33" s="3"/>
      <c r="K33" s="3"/>
      <c r="L33" s="3"/>
      <c r="M33" s="3"/>
      <c r="N33" s="3"/>
      <c r="O33" s="3"/>
      <c r="P33" s="3"/>
      <c r="Q33" s="3"/>
      <c r="R33" s="3"/>
      <c r="S33" s="3"/>
      <c r="T33" s="3"/>
      <c r="U33" s="3"/>
      <c r="V33" s="3"/>
    </row>
    <row r="34" spans="1:22">
      <c r="A34" s="7"/>
      <c r="B34" s="7"/>
      <c r="C34" s="7"/>
      <c r="D34" s="7"/>
      <c r="E34" s="7"/>
      <c r="F34" s="7"/>
      <c r="G34" s="7"/>
      <c r="H34" s="7"/>
      <c r="I34" s="7"/>
      <c r="J34" s="7"/>
      <c r="K34" s="7"/>
      <c r="L34" s="7"/>
      <c r="M34" s="7"/>
      <c r="N34" s="7"/>
      <c r="O34" s="7"/>
      <c r="P34" s="7"/>
      <c r="Q34" s="7"/>
      <c r="R34" s="7"/>
      <c r="S34" s="7"/>
      <c r="T34" s="7"/>
      <c r="U34" s="7"/>
      <c r="V34" s="7"/>
    </row>
    <row r="35" spans="1:22" ht="27.75" customHeight="1">
      <c r="A35" s="5" t="s">
        <v>130</v>
      </c>
      <c r="B35" s="6">
        <f>SUM(E9:E33)</f>
        <v>68</v>
      </c>
      <c r="C35" s="7"/>
      <c r="D35" s="7"/>
      <c r="E35" s="7"/>
      <c r="F35" s="7"/>
      <c r="G35" s="7"/>
      <c r="H35" s="7"/>
      <c r="I35" s="7"/>
      <c r="J35" s="7"/>
      <c r="K35" s="7"/>
      <c r="L35" s="7"/>
      <c r="M35" s="7"/>
      <c r="N35" s="7"/>
      <c r="O35" s="7"/>
      <c r="P35" s="7"/>
      <c r="Q35" s="7"/>
      <c r="R35" s="7"/>
      <c r="S35" s="7"/>
      <c r="T35" s="7"/>
      <c r="U35" s="7"/>
      <c r="V35" s="7"/>
    </row>
    <row r="36" spans="1:22" ht="27.75" customHeight="1">
      <c r="A36" s="5" t="s">
        <v>131</v>
      </c>
      <c r="B36" s="6">
        <f>SUMIF(B9:B33,"&lt;&gt;NFR",E9:E33)</f>
        <v>45</v>
      </c>
      <c r="C36" s="7"/>
      <c r="D36" s="7"/>
      <c r="E36" s="7"/>
      <c r="F36" s="7"/>
      <c r="G36" s="7"/>
      <c r="H36" s="7"/>
      <c r="I36" s="7"/>
      <c r="J36" s="7"/>
      <c r="K36" s="7"/>
      <c r="L36" s="7"/>
      <c r="M36" s="7"/>
      <c r="N36" s="7"/>
      <c r="O36" s="7"/>
      <c r="P36" s="7"/>
      <c r="Q36" s="7"/>
      <c r="R36" s="7"/>
      <c r="S36" s="7"/>
      <c r="T36" s="7"/>
      <c r="U36" s="7"/>
      <c r="V36" s="7"/>
    </row>
    <row r="37" spans="1:22" ht="41.25" customHeight="1">
      <c r="A37" s="5" t="s">
        <v>132</v>
      </c>
      <c r="B37" s="6">
        <f>SUMIF(B9:B33,"NFR",E9:E33)</f>
        <v>23</v>
      </c>
      <c r="C37" s="7"/>
      <c r="D37" s="7"/>
      <c r="E37" s="7"/>
      <c r="F37" s="7"/>
      <c r="G37" s="7"/>
      <c r="H37" s="7"/>
      <c r="I37" s="7"/>
      <c r="J37" s="7"/>
      <c r="K37" s="7"/>
      <c r="L37" s="7"/>
      <c r="M37" s="7"/>
      <c r="N37" s="7"/>
      <c r="O37" s="7"/>
      <c r="P37" s="7"/>
      <c r="Q37" s="7"/>
      <c r="R37" s="7"/>
      <c r="S37" s="7"/>
      <c r="T37" s="7"/>
      <c r="U37" s="7"/>
      <c r="V37" s="7"/>
    </row>
    <row r="38" spans="1:22">
      <c r="A38" s="5" t="s">
        <v>133</v>
      </c>
      <c r="B38" s="6">
        <f>COUNTA(A9:A33)</f>
        <v>25</v>
      </c>
      <c r="C38" s="7"/>
      <c r="D38" s="7"/>
      <c r="E38" s="7"/>
      <c r="F38" s="7"/>
      <c r="G38" s="7"/>
      <c r="H38" s="7"/>
      <c r="I38" s="7"/>
      <c r="J38" s="7"/>
      <c r="K38" s="7"/>
      <c r="L38" s="7"/>
      <c r="M38" s="7"/>
      <c r="N38" s="7"/>
      <c r="O38" s="7"/>
      <c r="P38" s="7"/>
      <c r="Q38" s="7"/>
      <c r="R38" s="7"/>
      <c r="S38" s="7"/>
      <c r="T38" s="7"/>
      <c r="U38" s="7"/>
      <c r="V38" s="7"/>
    </row>
  </sheetData>
  <mergeCells count="1">
    <mergeCell ref="A1:V1"/>
  </mergeCells>
  <conditionalFormatting sqref="E9:E33">
    <cfRule type="dataBar" priority="1">
      <dataBar>
        <cfvo type="min"/>
        <cfvo type="max"/>
        <color rgb="FF6AA84F"/>
      </dataBar>
    </cfRule>
    <cfRule type="dataBar" priority="2">
      <dataBar>
        <cfvo type="min"/>
        <cfvo type="max"/>
        <color rgb="FF6AA84F"/>
      </dataBar>
    </cfRule>
  </conditionalFormatting>
  <dataValidations count="1">
    <dataValidation type="list" sqref="F9:F33" xr:uid="{00000000-0002-0000-0200-000000000000}">
      <formula1>"Not Started,In Progress,Done,Blocked"</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6"/>
  <sheetViews>
    <sheetView topLeftCell="E1" zoomScale="68" workbookViewId="0">
      <selection activeCell="B6" sqref="B6"/>
    </sheetView>
  </sheetViews>
  <sheetFormatPr defaultColWidth="8.83203125" defaultRowHeight="14"/>
  <cols>
    <col min="1" max="2" width="12" customWidth="1"/>
    <col min="3" max="3" width="37.9140625" customWidth="1"/>
    <col min="4" max="4" width="18" customWidth="1"/>
    <col min="5" max="5" width="14.9140625" customWidth="1"/>
    <col min="6" max="6" width="14" customWidth="1"/>
    <col min="7" max="7" width="37.9140625" customWidth="1"/>
    <col min="8" max="8" width="36.08203125" customWidth="1"/>
    <col min="9" max="22" width="7.9140625" customWidth="1"/>
  </cols>
  <sheetData>
    <row r="1" spans="1:22">
      <c r="A1" s="9" t="s">
        <v>0</v>
      </c>
      <c r="B1" s="10"/>
      <c r="C1" s="10"/>
      <c r="D1" s="10"/>
      <c r="E1" s="10"/>
      <c r="F1" s="10"/>
      <c r="G1" s="10"/>
      <c r="H1" s="10"/>
      <c r="I1" s="10"/>
      <c r="J1" s="10"/>
      <c r="K1" s="10"/>
      <c r="L1" s="10"/>
      <c r="M1" s="10"/>
      <c r="N1" s="10"/>
      <c r="O1" s="10"/>
      <c r="P1" s="10"/>
      <c r="Q1" s="10"/>
      <c r="R1" s="10"/>
      <c r="S1" s="10"/>
      <c r="T1" s="10"/>
      <c r="U1" s="10"/>
      <c r="V1" s="10"/>
    </row>
    <row r="2" spans="1:22">
      <c r="A2" s="7"/>
      <c r="B2" s="7"/>
      <c r="C2" s="7"/>
      <c r="D2" s="7"/>
      <c r="E2" s="7"/>
      <c r="F2" s="7"/>
      <c r="G2" s="7"/>
      <c r="H2" s="7"/>
      <c r="I2" s="7"/>
      <c r="J2" s="7"/>
      <c r="K2" s="7"/>
      <c r="L2" s="7"/>
      <c r="M2" s="7"/>
      <c r="N2" s="7"/>
      <c r="O2" s="7"/>
      <c r="P2" s="7"/>
      <c r="Q2" s="7"/>
      <c r="R2" s="7"/>
      <c r="S2" s="7"/>
      <c r="T2" s="7"/>
      <c r="U2" s="7"/>
      <c r="V2" s="7"/>
    </row>
    <row r="3" spans="1:22" ht="41.25" customHeight="1">
      <c r="A3" s="8" t="s">
        <v>1</v>
      </c>
      <c r="B3" s="1" t="s">
        <v>2</v>
      </c>
      <c r="C3" s="7"/>
      <c r="D3" s="7"/>
      <c r="E3" s="7"/>
      <c r="F3" s="7"/>
      <c r="G3" s="7"/>
      <c r="H3" s="7"/>
      <c r="I3" s="7"/>
      <c r="J3" s="7"/>
      <c r="K3" s="7"/>
      <c r="L3" s="7"/>
      <c r="M3" s="7"/>
      <c r="N3" s="7"/>
      <c r="O3" s="7"/>
      <c r="P3" s="7"/>
      <c r="Q3" s="7"/>
      <c r="R3" s="7"/>
      <c r="S3" s="7"/>
      <c r="T3" s="7"/>
      <c r="U3" s="7"/>
      <c r="V3" s="7"/>
    </row>
    <row r="4" spans="1:22" ht="14.5">
      <c r="A4" s="8" t="s">
        <v>3</v>
      </c>
      <c r="B4" s="1">
        <v>2</v>
      </c>
      <c r="C4" s="7"/>
      <c r="D4" s="7"/>
      <c r="E4" s="7"/>
      <c r="F4" s="7"/>
      <c r="G4" s="7"/>
      <c r="H4" s="7"/>
      <c r="I4" s="7"/>
      <c r="J4" s="7"/>
      <c r="K4" s="7"/>
      <c r="L4" s="7"/>
      <c r="M4" s="7"/>
      <c r="N4" s="7"/>
      <c r="O4" s="7"/>
      <c r="P4" s="7"/>
      <c r="Q4" s="7"/>
      <c r="R4" s="7"/>
      <c r="S4" s="7"/>
      <c r="T4" s="7"/>
      <c r="U4" s="7"/>
      <c r="V4" s="7"/>
    </row>
    <row r="5" spans="1:22" ht="14.5">
      <c r="A5" s="8" t="s">
        <v>4</v>
      </c>
      <c r="B5" s="1"/>
      <c r="C5" s="7"/>
      <c r="D5" s="7"/>
      <c r="E5" s="7"/>
      <c r="F5" s="7"/>
      <c r="G5" s="7"/>
      <c r="H5" s="7"/>
      <c r="I5" s="7"/>
      <c r="J5" s="7"/>
      <c r="K5" s="7"/>
      <c r="L5" s="7"/>
      <c r="M5" s="7"/>
      <c r="N5" s="7"/>
      <c r="O5" s="7"/>
      <c r="P5" s="7"/>
      <c r="Q5" s="7"/>
      <c r="R5" s="7"/>
      <c r="S5" s="7"/>
      <c r="T5" s="7"/>
      <c r="U5" s="7"/>
      <c r="V5" s="7"/>
    </row>
    <row r="6" spans="1:22" ht="27.75" customHeight="1">
      <c r="A6" s="8" t="s">
        <v>5</v>
      </c>
      <c r="B6" s="1">
        <v>5</v>
      </c>
      <c r="C6" s="7"/>
      <c r="D6" s="7"/>
      <c r="E6" s="7"/>
      <c r="F6" s="7"/>
      <c r="G6" s="7"/>
      <c r="H6" s="7"/>
      <c r="I6" s="7"/>
      <c r="J6" s="7"/>
      <c r="K6" s="7"/>
      <c r="L6" s="7"/>
      <c r="M6" s="7"/>
      <c r="N6" s="7"/>
      <c r="O6" s="7"/>
      <c r="P6" s="7"/>
      <c r="Q6" s="7"/>
      <c r="R6" s="7"/>
      <c r="S6" s="7"/>
      <c r="T6" s="7"/>
      <c r="U6" s="7"/>
      <c r="V6" s="7"/>
    </row>
    <row r="7" spans="1:22">
      <c r="A7" s="7"/>
      <c r="B7" s="7"/>
      <c r="C7" s="7"/>
      <c r="D7" s="7"/>
      <c r="E7" s="7"/>
      <c r="F7" s="7"/>
      <c r="G7" s="7"/>
      <c r="H7" s="7"/>
      <c r="I7" s="7"/>
      <c r="J7" s="7"/>
      <c r="K7" s="7"/>
      <c r="L7" s="7"/>
      <c r="M7" s="7"/>
      <c r="N7" s="7"/>
      <c r="O7" s="7"/>
      <c r="P7" s="7"/>
      <c r="Q7" s="7"/>
      <c r="R7" s="7"/>
      <c r="S7" s="7"/>
      <c r="T7" s="7"/>
      <c r="U7" s="7"/>
      <c r="V7" s="7"/>
    </row>
    <row r="8" spans="1:22">
      <c r="A8" s="4" t="s">
        <v>6</v>
      </c>
      <c r="B8" s="4" t="s">
        <v>7</v>
      </c>
      <c r="C8" s="4" t="s">
        <v>8</v>
      </c>
      <c r="D8" s="4" t="s">
        <v>9</v>
      </c>
      <c r="E8" s="4" t="s">
        <v>10</v>
      </c>
      <c r="F8" s="4" t="s">
        <v>11</v>
      </c>
      <c r="G8" s="4" t="s">
        <v>12</v>
      </c>
      <c r="H8" s="4" t="s">
        <v>13</v>
      </c>
      <c r="I8" s="4" t="s">
        <v>14</v>
      </c>
      <c r="J8" s="4" t="s">
        <v>15</v>
      </c>
      <c r="K8" s="4" t="s">
        <v>16</v>
      </c>
      <c r="L8" s="4" t="s">
        <v>17</v>
      </c>
      <c r="M8" s="4" t="s">
        <v>18</v>
      </c>
      <c r="N8" s="4" t="s">
        <v>19</v>
      </c>
      <c r="O8" s="4" t="s">
        <v>20</v>
      </c>
      <c r="P8" s="4" t="s">
        <v>21</v>
      </c>
      <c r="Q8" s="4" t="s">
        <v>22</v>
      </c>
      <c r="R8" s="4" t="s">
        <v>23</v>
      </c>
      <c r="S8" s="4" t="s">
        <v>24</v>
      </c>
      <c r="T8" s="4" t="s">
        <v>25</v>
      </c>
      <c r="U8" s="4" t="s">
        <v>26</v>
      </c>
      <c r="V8" s="4" t="s">
        <v>27</v>
      </c>
    </row>
    <row r="9" spans="1:22" ht="27.75" customHeight="1">
      <c r="A9" s="3" t="s">
        <v>28</v>
      </c>
      <c r="B9" s="3" t="s">
        <v>29</v>
      </c>
      <c r="C9" s="3" t="s">
        <v>30</v>
      </c>
      <c r="D9" s="3" t="s">
        <v>31</v>
      </c>
      <c r="E9" s="3">
        <v>5</v>
      </c>
      <c r="F9" s="3" t="s">
        <v>32</v>
      </c>
      <c r="G9" s="3" t="s">
        <v>33</v>
      </c>
      <c r="H9" s="3" t="s">
        <v>34</v>
      </c>
      <c r="I9" s="3"/>
      <c r="J9" s="3"/>
      <c r="K9" s="3"/>
      <c r="L9" s="3"/>
      <c r="M9" s="3"/>
      <c r="N9" s="3"/>
      <c r="O9" s="3"/>
      <c r="P9" s="3"/>
      <c r="Q9" s="3"/>
      <c r="R9" s="3"/>
      <c r="S9" s="3"/>
      <c r="T9" s="3"/>
      <c r="U9" s="3"/>
      <c r="V9" s="3"/>
    </row>
    <row r="10" spans="1:22" ht="27.75" customHeight="1">
      <c r="A10" s="3" t="s">
        <v>35</v>
      </c>
      <c r="B10" s="3" t="s">
        <v>29</v>
      </c>
      <c r="C10" s="3" t="s">
        <v>36</v>
      </c>
      <c r="D10" s="3" t="s">
        <v>31</v>
      </c>
      <c r="E10" s="3">
        <v>3</v>
      </c>
      <c r="F10" s="3" t="s">
        <v>32</v>
      </c>
      <c r="G10" s="3" t="s">
        <v>37</v>
      </c>
      <c r="H10" s="3" t="s">
        <v>38</v>
      </c>
      <c r="I10" s="3"/>
      <c r="J10" s="3"/>
      <c r="K10" s="3"/>
      <c r="L10" s="3"/>
      <c r="M10" s="3"/>
      <c r="N10" s="3"/>
      <c r="O10" s="3"/>
      <c r="P10" s="3"/>
      <c r="Q10" s="3"/>
      <c r="R10" s="3"/>
      <c r="S10" s="3"/>
      <c r="T10" s="3"/>
      <c r="U10" s="3"/>
      <c r="V10" s="3"/>
    </row>
    <row r="11" spans="1:22" ht="27.75" customHeight="1">
      <c r="A11" s="3" t="s">
        <v>39</v>
      </c>
      <c r="B11" s="3" t="s">
        <v>29</v>
      </c>
      <c r="C11" s="3" t="s">
        <v>40</v>
      </c>
      <c r="D11" s="3" t="s">
        <v>31</v>
      </c>
      <c r="E11" s="3">
        <v>2</v>
      </c>
      <c r="F11" s="3" t="s">
        <v>32</v>
      </c>
      <c r="G11" s="3" t="s">
        <v>41</v>
      </c>
      <c r="H11" s="3" t="s">
        <v>42</v>
      </c>
      <c r="I11" s="3"/>
      <c r="J11" s="3"/>
      <c r="K11" s="3"/>
      <c r="L11" s="3"/>
      <c r="M11" s="3"/>
      <c r="N11" s="3"/>
      <c r="O11" s="3"/>
      <c r="P11" s="3"/>
      <c r="Q11" s="3"/>
      <c r="R11" s="3"/>
      <c r="S11" s="3"/>
      <c r="T11" s="3"/>
      <c r="U11" s="3"/>
      <c r="V11" s="3"/>
    </row>
    <row r="12" spans="1:22" ht="27.75" customHeight="1">
      <c r="A12" s="3" t="s">
        <v>43</v>
      </c>
      <c r="B12" s="3" t="s">
        <v>44</v>
      </c>
      <c r="C12" s="3" t="s">
        <v>45</v>
      </c>
      <c r="D12" s="3" t="s">
        <v>31</v>
      </c>
      <c r="E12" s="3">
        <v>5</v>
      </c>
      <c r="F12" s="3" t="s">
        <v>32</v>
      </c>
      <c r="G12" s="3" t="s">
        <v>46</v>
      </c>
      <c r="H12" s="3" t="s">
        <v>47</v>
      </c>
      <c r="I12" s="3"/>
      <c r="J12" s="3"/>
      <c r="K12" s="3"/>
      <c r="L12" s="3"/>
      <c r="M12" s="3"/>
      <c r="N12" s="3"/>
      <c r="O12" s="3"/>
      <c r="P12" s="3"/>
      <c r="Q12" s="3"/>
      <c r="R12" s="3"/>
      <c r="S12" s="3"/>
      <c r="T12" s="3"/>
      <c r="U12" s="3"/>
      <c r="V12" s="3"/>
    </row>
    <row r="13" spans="1:22" ht="27.75" customHeight="1">
      <c r="A13" s="3" t="s">
        <v>48</v>
      </c>
      <c r="B13" s="3" t="s">
        <v>44</v>
      </c>
      <c r="C13" s="3" t="s">
        <v>49</v>
      </c>
      <c r="D13" s="3" t="s">
        <v>31</v>
      </c>
      <c r="E13" s="3">
        <v>3</v>
      </c>
      <c r="F13" s="3" t="s">
        <v>32</v>
      </c>
      <c r="G13" s="3" t="s">
        <v>50</v>
      </c>
      <c r="H13" s="3" t="s">
        <v>51</v>
      </c>
      <c r="I13" s="3"/>
      <c r="J13" s="3"/>
      <c r="K13" s="3"/>
      <c r="L13" s="3"/>
      <c r="M13" s="3"/>
      <c r="N13" s="3"/>
      <c r="O13" s="3"/>
      <c r="P13" s="3"/>
      <c r="Q13" s="3"/>
      <c r="R13" s="3"/>
      <c r="S13" s="3"/>
      <c r="T13" s="3"/>
      <c r="U13" s="3"/>
      <c r="V13" s="3"/>
    </row>
    <row r="14" spans="1:22" ht="27.75" customHeight="1">
      <c r="A14" s="3" t="s">
        <v>52</v>
      </c>
      <c r="B14" s="3" t="s">
        <v>44</v>
      </c>
      <c r="C14" s="3" t="s">
        <v>53</v>
      </c>
      <c r="D14" s="3" t="s">
        <v>31</v>
      </c>
      <c r="E14" s="3">
        <v>2</v>
      </c>
      <c r="F14" s="3" t="s">
        <v>32</v>
      </c>
      <c r="G14" s="3" t="s">
        <v>54</v>
      </c>
      <c r="H14" s="3" t="s">
        <v>55</v>
      </c>
      <c r="I14" s="3"/>
      <c r="J14" s="3"/>
      <c r="K14" s="3"/>
      <c r="L14" s="3"/>
      <c r="M14" s="3"/>
      <c r="N14" s="3"/>
      <c r="O14" s="3"/>
      <c r="P14" s="3"/>
      <c r="Q14" s="3"/>
      <c r="R14" s="3"/>
      <c r="S14" s="3"/>
      <c r="T14" s="3"/>
      <c r="U14" s="3"/>
      <c r="V14" s="3"/>
    </row>
    <row r="15" spans="1:22" ht="27.75" customHeight="1">
      <c r="A15" s="3" t="s">
        <v>56</v>
      </c>
      <c r="B15" s="3" t="s">
        <v>57</v>
      </c>
      <c r="C15" s="3" t="s">
        <v>58</v>
      </c>
      <c r="D15" s="3" t="s">
        <v>31</v>
      </c>
      <c r="E15" s="3">
        <v>5</v>
      </c>
      <c r="F15" s="3" t="s">
        <v>32</v>
      </c>
      <c r="G15" s="3" t="s">
        <v>59</v>
      </c>
      <c r="H15" s="3" t="s">
        <v>60</v>
      </c>
      <c r="I15" s="3"/>
      <c r="J15" s="3"/>
      <c r="K15" s="3"/>
      <c r="L15" s="3"/>
      <c r="M15" s="3"/>
      <c r="N15" s="3"/>
      <c r="O15" s="3"/>
      <c r="P15" s="3"/>
      <c r="Q15" s="3"/>
      <c r="R15" s="3"/>
      <c r="S15" s="3"/>
      <c r="T15" s="3"/>
      <c r="U15" s="3"/>
      <c r="V15" s="3"/>
    </row>
    <row r="16" spans="1:22" ht="27.75" customHeight="1">
      <c r="A16" s="3" t="s">
        <v>61</v>
      </c>
      <c r="B16" s="3" t="s">
        <v>57</v>
      </c>
      <c r="C16" s="3" t="s">
        <v>62</v>
      </c>
      <c r="D16" s="3" t="s">
        <v>31</v>
      </c>
      <c r="E16" s="3">
        <v>3</v>
      </c>
      <c r="F16" s="3" t="s">
        <v>32</v>
      </c>
      <c r="G16" s="3" t="s">
        <v>63</v>
      </c>
      <c r="H16" s="3" t="s">
        <v>64</v>
      </c>
      <c r="I16" s="3"/>
      <c r="J16" s="3"/>
      <c r="K16" s="3"/>
      <c r="L16" s="3"/>
      <c r="M16" s="3"/>
      <c r="N16" s="3"/>
      <c r="O16" s="3"/>
      <c r="P16" s="3"/>
      <c r="Q16" s="3"/>
      <c r="R16" s="3"/>
      <c r="S16" s="3"/>
      <c r="T16" s="3"/>
      <c r="U16" s="3"/>
      <c r="V16" s="3"/>
    </row>
    <row r="17" spans="1:22" ht="27.75" customHeight="1">
      <c r="A17" s="3" t="s">
        <v>65</v>
      </c>
      <c r="B17" s="3" t="s">
        <v>66</v>
      </c>
      <c r="C17" s="3" t="s">
        <v>67</v>
      </c>
      <c r="D17" s="3" t="s">
        <v>31</v>
      </c>
      <c r="E17" s="3">
        <v>5</v>
      </c>
      <c r="F17" s="3" t="s">
        <v>32</v>
      </c>
      <c r="G17" s="3" t="s">
        <v>68</v>
      </c>
      <c r="H17" s="3" t="s">
        <v>69</v>
      </c>
      <c r="I17" s="3"/>
      <c r="J17" s="3"/>
      <c r="K17" s="3"/>
      <c r="L17" s="3"/>
      <c r="M17" s="3"/>
      <c r="N17" s="3"/>
      <c r="O17" s="3"/>
      <c r="P17" s="3"/>
      <c r="Q17" s="3"/>
      <c r="R17" s="3"/>
      <c r="S17" s="3"/>
      <c r="T17" s="3"/>
      <c r="U17" s="3"/>
      <c r="V17" s="3"/>
    </row>
    <row r="18" spans="1:22" ht="27.75" customHeight="1">
      <c r="A18" s="3" t="s">
        <v>70</v>
      </c>
      <c r="B18" s="3" t="s">
        <v>66</v>
      </c>
      <c r="C18" s="3" t="s">
        <v>71</v>
      </c>
      <c r="D18" s="3" t="s">
        <v>31</v>
      </c>
      <c r="E18" s="3">
        <v>2</v>
      </c>
      <c r="F18" s="3" t="s">
        <v>32</v>
      </c>
      <c r="G18" s="3" t="s">
        <v>72</v>
      </c>
      <c r="H18" s="3" t="s">
        <v>73</v>
      </c>
      <c r="I18" s="3"/>
      <c r="J18" s="3"/>
      <c r="K18" s="3"/>
      <c r="L18" s="3"/>
      <c r="M18" s="3"/>
      <c r="N18" s="3"/>
      <c r="O18" s="3"/>
      <c r="P18" s="3"/>
      <c r="Q18" s="3"/>
      <c r="R18" s="3"/>
      <c r="S18" s="3"/>
      <c r="T18" s="3"/>
      <c r="U18" s="3"/>
      <c r="V18" s="3"/>
    </row>
    <row r="19" spans="1:22" ht="27.75" customHeight="1">
      <c r="A19" s="3" t="s">
        <v>74</v>
      </c>
      <c r="B19" s="3" t="s">
        <v>75</v>
      </c>
      <c r="C19" s="3" t="s">
        <v>76</v>
      </c>
      <c r="D19" s="3" t="s">
        <v>31</v>
      </c>
      <c r="E19" s="3">
        <v>5</v>
      </c>
      <c r="F19" s="3" t="s">
        <v>32</v>
      </c>
      <c r="G19" s="3" t="s">
        <v>77</v>
      </c>
      <c r="H19" s="3" t="s">
        <v>78</v>
      </c>
      <c r="I19" s="3"/>
      <c r="J19" s="3"/>
      <c r="K19" s="3"/>
      <c r="L19" s="3"/>
      <c r="M19" s="3"/>
      <c r="N19" s="3"/>
      <c r="O19" s="3"/>
      <c r="P19" s="3"/>
      <c r="Q19" s="3"/>
      <c r="R19" s="3"/>
      <c r="S19" s="3"/>
      <c r="T19" s="3"/>
      <c r="U19" s="3"/>
      <c r="V19" s="3"/>
    </row>
    <row r="20" spans="1:22" ht="27.75" customHeight="1">
      <c r="A20" s="3" t="s">
        <v>79</v>
      </c>
      <c r="B20" s="3" t="s">
        <v>75</v>
      </c>
      <c r="C20" s="3" t="s">
        <v>80</v>
      </c>
      <c r="D20" s="3" t="s">
        <v>31</v>
      </c>
      <c r="E20" s="3">
        <v>3</v>
      </c>
      <c r="F20" s="3" t="s">
        <v>32</v>
      </c>
      <c r="G20" s="3" t="s">
        <v>81</v>
      </c>
      <c r="H20" s="3" t="s">
        <v>82</v>
      </c>
      <c r="I20" s="3"/>
      <c r="J20" s="3"/>
      <c r="K20" s="3"/>
      <c r="L20" s="3"/>
      <c r="M20" s="3"/>
      <c r="N20" s="3"/>
      <c r="O20" s="3"/>
      <c r="P20" s="3"/>
      <c r="Q20" s="3"/>
      <c r="R20" s="3"/>
      <c r="S20" s="3"/>
      <c r="T20" s="3"/>
      <c r="U20" s="3"/>
      <c r="V20" s="3"/>
    </row>
    <row r="21" spans="1:22" ht="27.75" customHeight="1">
      <c r="A21" s="3" t="s">
        <v>83</v>
      </c>
      <c r="B21" s="3" t="s">
        <v>84</v>
      </c>
      <c r="C21" s="3" t="s">
        <v>85</v>
      </c>
      <c r="D21" s="3" t="s">
        <v>31</v>
      </c>
      <c r="E21" s="3">
        <v>5</v>
      </c>
      <c r="F21" s="3" t="s">
        <v>32</v>
      </c>
      <c r="G21" s="3" t="s">
        <v>86</v>
      </c>
      <c r="H21" s="3" t="s">
        <v>87</v>
      </c>
      <c r="I21" s="3"/>
      <c r="J21" s="3"/>
      <c r="K21" s="3"/>
      <c r="L21" s="3"/>
      <c r="M21" s="3"/>
      <c r="N21" s="3"/>
      <c r="O21" s="3"/>
      <c r="P21" s="3"/>
      <c r="Q21" s="3"/>
      <c r="R21" s="3"/>
      <c r="S21" s="3"/>
      <c r="T21" s="3"/>
      <c r="U21" s="3"/>
      <c r="V21" s="3"/>
    </row>
    <row r="22" spans="1:22" ht="27.75" customHeight="1">
      <c r="A22" s="3" t="s">
        <v>88</v>
      </c>
      <c r="B22" s="3" t="s">
        <v>89</v>
      </c>
      <c r="C22" s="3" t="s">
        <v>90</v>
      </c>
      <c r="D22" s="3" t="s">
        <v>91</v>
      </c>
      <c r="E22" s="3">
        <v>2</v>
      </c>
      <c r="F22" s="3" t="s">
        <v>32</v>
      </c>
      <c r="G22" s="3" t="s">
        <v>92</v>
      </c>
      <c r="H22" s="3" t="s">
        <v>93</v>
      </c>
      <c r="I22" s="3"/>
      <c r="J22" s="3"/>
      <c r="K22" s="3"/>
      <c r="L22" s="3"/>
      <c r="M22" s="3"/>
      <c r="N22" s="3"/>
      <c r="O22" s="3"/>
      <c r="P22" s="3"/>
      <c r="Q22" s="3"/>
      <c r="R22" s="3"/>
      <c r="S22" s="3"/>
      <c r="T22" s="3"/>
      <c r="U22" s="3"/>
      <c r="V22" s="3"/>
    </row>
    <row r="23" spans="1:22" ht="27.75" customHeight="1">
      <c r="A23" s="3" t="s">
        <v>94</v>
      </c>
      <c r="B23" s="3" t="s">
        <v>89</v>
      </c>
      <c r="C23" s="3" t="s">
        <v>95</v>
      </c>
      <c r="D23" s="3" t="s">
        <v>91</v>
      </c>
      <c r="E23" s="3">
        <v>3</v>
      </c>
      <c r="F23" s="3" t="s">
        <v>32</v>
      </c>
      <c r="G23" s="3" t="s">
        <v>96</v>
      </c>
      <c r="H23" s="3" t="s">
        <v>97</v>
      </c>
      <c r="I23" s="3"/>
      <c r="J23" s="3"/>
      <c r="K23" s="3"/>
      <c r="L23" s="3"/>
      <c r="M23" s="3"/>
      <c r="N23" s="3"/>
      <c r="O23" s="3"/>
      <c r="P23" s="3"/>
      <c r="Q23" s="3"/>
      <c r="R23" s="3"/>
      <c r="S23" s="3"/>
      <c r="T23" s="3"/>
      <c r="U23" s="3"/>
      <c r="V23" s="3"/>
    </row>
    <row r="24" spans="1:22" ht="27.75" customHeight="1">
      <c r="A24" s="3" t="s">
        <v>98</v>
      </c>
      <c r="B24" s="3" t="s">
        <v>89</v>
      </c>
      <c r="C24" s="3" t="s">
        <v>99</v>
      </c>
      <c r="D24" s="3" t="s">
        <v>91</v>
      </c>
      <c r="E24" s="3">
        <v>2</v>
      </c>
      <c r="F24" s="3" t="s">
        <v>32</v>
      </c>
      <c r="G24" s="3" t="s">
        <v>100</v>
      </c>
      <c r="H24" s="3" t="s">
        <v>101</v>
      </c>
      <c r="I24" s="3"/>
      <c r="J24" s="3"/>
      <c r="K24" s="3"/>
      <c r="L24" s="3"/>
      <c r="M24" s="3"/>
      <c r="N24" s="3"/>
      <c r="O24" s="3"/>
      <c r="P24" s="3"/>
      <c r="Q24" s="3"/>
      <c r="R24" s="3"/>
      <c r="S24" s="3"/>
      <c r="T24" s="3"/>
      <c r="U24" s="3"/>
      <c r="V24" s="3"/>
    </row>
    <row r="25" spans="1:22" ht="27.75" customHeight="1">
      <c r="A25" s="3" t="s">
        <v>102</v>
      </c>
      <c r="B25" s="3" t="s">
        <v>89</v>
      </c>
      <c r="C25" s="3" t="s">
        <v>103</v>
      </c>
      <c r="D25" s="3" t="s">
        <v>91</v>
      </c>
      <c r="E25" s="3">
        <v>2</v>
      </c>
      <c r="F25" s="3" t="s">
        <v>32</v>
      </c>
      <c r="G25" s="3" t="s">
        <v>104</v>
      </c>
      <c r="H25" s="3" t="s">
        <v>105</v>
      </c>
      <c r="I25" s="3"/>
      <c r="J25" s="3"/>
      <c r="K25" s="3"/>
      <c r="L25" s="3"/>
      <c r="M25" s="3"/>
      <c r="N25" s="3"/>
      <c r="O25" s="3"/>
      <c r="P25" s="3"/>
      <c r="Q25" s="3"/>
      <c r="R25" s="3"/>
      <c r="S25" s="3"/>
      <c r="T25" s="3"/>
      <c r="U25" s="3"/>
      <c r="V25" s="3"/>
    </row>
    <row r="26" spans="1:22" ht="27.75" customHeight="1">
      <c r="A26" s="3" t="s">
        <v>106</v>
      </c>
      <c r="B26" s="3" t="s">
        <v>89</v>
      </c>
      <c r="C26" s="3" t="s">
        <v>107</v>
      </c>
      <c r="D26" s="3" t="s">
        <v>31</v>
      </c>
      <c r="E26" s="3">
        <v>3</v>
      </c>
      <c r="F26" s="3" t="s">
        <v>32</v>
      </c>
      <c r="G26" s="3" t="s">
        <v>108</v>
      </c>
      <c r="H26" s="3" t="s">
        <v>109</v>
      </c>
      <c r="I26" s="3"/>
      <c r="J26" s="3"/>
      <c r="K26" s="3"/>
      <c r="L26" s="3"/>
      <c r="M26" s="3"/>
      <c r="N26" s="3"/>
      <c r="O26" s="3"/>
      <c r="P26" s="3"/>
      <c r="Q26" s="3"/>
      <c r="R26" s="3"/>
      <c r="S26" s="3"/>
      <c r="T26" s="3"/>
      <c r="U26" s="3"/>
      <c r="V26" s="3"/>
    </row>
    <row r="27" spans="1:22" ht="27.75" customHeight="1">
      <c r="A27" s="3" t="s">
        <v>110</v>
      </c>
      <c r="B27" s="3" t="s">
        <v>89</v>
      </c>
      <c r="C27" s="3" t="s">
        <v>111</v>
      </c>
      <c r="D27" s="3" t="s">
        <v>31</v>
      </c>
      <c r="E27" s="3">
        <v>5</v>
      </c>
      <c r="F27" s="3" t="s">
        <v>32</v>
      </c>
      <c r="G27" s="3" t="s">
        <v>112</v>
      </c>
      <c r="H27" s="3" t="s">
        <v>113</v>
      </c>
      <c r="I27" s="3"/>
      <c r="J27" s="3"/>
      <c r="K27" s="3"/>
      <c r="L27" s="3"/>
      <c r="M27" s="3"/>
      <c r="N27" s="3"/>
      <c r="O27" s="3"/>
      <c r="P27" s="3"/>
      <c r="Q27" s="3"/>
      <c r="R27" s="3"/>
      <c r="S27" s="3"/>
      <c r="T27" s="3"/>
      <c r="U27" s="3"/>
      <c r="V27" s="3"/>
    </row>
    <row r="28" spans="1:22" ht="27.75" customHeight="1">
      <c r="A28" s="3" t="s">
        <v>114</v>
      </c>
      <c r="B28" s="3" t="s">
        <v>89</v>
      </c>
      <c r="C28" s="3" t="s">
        <v>115</v>
      </c>
      <c r="D28" s="3" t="s">
        <v>31</v>
      </c>
      <c r="E28" s="3">
        <v>3</v>
      </c>
      <c r="F28" s="3" t="s">
        <v>32</v>
      </c>
      <c r="G28" s="3" t="s">
        <v>116</v>
      </c>
      <c r="H28" s="3" t="s">
        <v>117</v>
      </c>
      <c r="I28" s="3"/>
      <c r="J28" s="3"/>
      <c r="K28" s="3"/>
      <c r="L28" s="3"/>
      <c r="M28" s="3"/>
      <c r="N28" s="3"/>
      <c r="O28" s="3"/>
      <c r="P28" s="3"/>
      <c r="Q28" s="3"/>
      <c r="R28" s="3"/>
      <c r="S28" s="3"/>
      <c r="T28" s="3"/>
      <c r="U28" s="3"/>
      <c r="V28" s="3"/>
    </row>
    <row r="29" spans="1:22" ht="27.75" customHeight="1">
      <c r="A29" s="3" t="s">
        <v>118</v>
      </c>
      <c r="B29" s="3" t="s">
        <v>89</v>
      </c>
      <c r="C29" s="3" t="s">
        <v>119</v>
      </c>
      <c r="D29" s="3" t="s">
        <v>31</v>
      </c>
      <c r="E29" s="3">
        <v>3</v>
      </c>
      <c r="F29" s="3" t="s">
        <v>32</v>
      </c>
      <c r="G29" s="3" t="s">
        <v>120</v>
      </c>
      <c r="H29" s="3" t="s">
        <v>121</v>
      </c>
      <c r="I29" s="3"/>
      <c r="J29" s="3"/>
      <c r="K29" s="3"/>
      <c r="L29" s="3"/>
      <c r="M29" s="3"/>
      <c r="N29" s="3"/>
      <c r="O29" s="3"/>
      <c r="P29" s="3"/>
      <c r="Q29" s="3"/>
      <c r="R29" s="3"/>
      <c r="S29" s="3"/>
      <c r="T29" s="3"/>
      <c r="U29" s="3"/>
      <c r="V29" s="3"/>
    </row>
    <row r="30" spans="1:22" ht="27.75" customHeight="1">
      <c r="A30" s="3" t="s">
        <v>122</v>
      </c>
      <c r="B30" s="3" t="s">
        <v>89</v>
      </c>
      <c r="C30" s="3" t="s">
        <v>123</v>
      </c>
      <c r="D30" s="3" t="s">
        <v>31</v>
      </c>
      <c r="E30" s="3">
        <v>2</v>
      </c>
      <c r="F30" s="3" t="s">
        <v>32</v>
      </c>
      <c r="G30" s="3" t="s">
        <v>124</v>
      </c>
      <c r="H30" s="3" t="s">
        <v>125</v>
      </c>
      <c r="I30" s="3"/>
      <c r="J30" s="3"/>
      <c r="K30" s="3"/>
      <c r="L30" s="3"/>
      <c r="M30" s="3"/>
      <c r="N30" s="3"/>
      <c r="O30" s="3"/>
      <c r="P30" s="3"/>
      <c r="Q30" s="3"/>
      <c r="R30" s="3"/>
      <c r="S30" s="3"/>
      <c r="T30" s="3"/>
      <c r="U30" s="3"/>
      <c r="V30" s="3"/>
    </row>
    <row r="31" spans="1:22" ht="27.75" customHeight="1">
      <c r="A31" s="3" t="s">
        <v>126</v>
      </c>
      <c r="B31" s="3" t="s">
        <v>89</v>
      </c>
      <c r="C31" s="3" t="s">
        <v>127</v>
      </c>
      <c r="D31" s="3" t="s">
        <v>91</v>
      </c>
      <c r="E31" s="3">
        <v>2</v>
      </c>
      <c r="F31" s="3" t="s">
        <v>32</v>
      </c>
      <c r="G31" s="3" t="s">
        <v>128</v>
      </c>
      <c r="H31" s="3" t="s">
        <v>129</v>
      </c>
      <c r="I31" s="3"/>
      <c r="J31" s="3"/>
      <c r="K31" s="3"/>
      <c r="L31" s="3"/>
      <c r="M31" s="3"/>
      <c r="N31" s="3"/>
      <c r="O31" s="3"/>
      <c r="P31" s="3"/>
      <c r="Q31" s="3"/>
      <c r="R31" s="3"/>
      <c r="S31" s="3"/>
      <c r="T31" s="3"/>
      <c r="U31" s="3"/>
      <c r="V31" s="3"/>
    </row>
    <row r="32" spans="1:22">
      <c r="A32" s="7"/>
      <c r="B32" s="7"/>
      <c r="C32" s="7"/>
      <c r="D32" s="7"/>
      <c r="E32" s="7"/>
      <c r="F32" s="7"/>
      <c r="G32" s="7"/>
      <c r="H32" s="7"/>
      <c r="I32" s="7"/>
      <c r="J32" s="7"/>
      <c r="K32" s="7"/>
      <c r="L32" s="7"/>
      <c r="M32" s="7"/>
      <c r="N32" s="7"/>
      <c r="O32" s="7"/>
      <c r="P32" s="7"/>
      <c r="Q32" s="7"/>
      <c r="R32" s="7"/>
      <c r="S32" s="7"/>
      <c r="T32" s="7"/>
      <c r="U32" s="7"/>
      <c r="V32" s="7"/>
    </row>
    <row r="33" spans="1:22" ht="27.75" customHeight="1">
      <c r="A33" s="5" t="s">
        <v>130</v>
      </c>
      <c r="B33" s="6">
        <f>SUM(E9:E31)</f>
        <v>75</v>
      </c>
      <c r="C33" s="7"/>
      <c r="D33" s="7"/>
      <c r="E33" s="7"/>
      <c r="F33" s="7"/>
      <c r="G33" s="7"/>
      <c r="H33" s="7"/>
      <c r="I33" s="7"/>
      <c r="J33" s="7"/>
      <c r="K33" s="7"/>
      <c r="L33" s="7"/>
      <c r="M33" s="7"/>
      <c r="N33" s="7"/>
      <c r="O33" s="7"/>
      <c r="P33" s="7"/>
      <c r="Q33" s="7"/>
      <c r="R33" s="7"/>
      <c r="S33" s="7"/>
      <c r="T33" s="7"/>
      <c r="U33" s="7"/>
      <c r="V33" s="7"/>
    </row>
    <row r="34" spans="1:22" ht="27.75" customHeight="1">
      <c r="A34" s="5" t="s">
        <v>131</v>
      </c>
      <c r="B34" s="6">
        <f>SUMIF(B9:B31,"&lt;&gt;NFR",E9:E31)</f>
        <v>48</v>
      </c>
      <c r="C34" s="7"/>
      <c r="D34" s="7"/>
      <c r="E34" s="7"/>
      <c r="F34" s="7"/>
      <c r="G34" s="7"/>
      <c r="H34" s="7"/>
      <c r="I34" s="7"/>
      <c r="J34" s="7"/>
      <c r="K34" s="7"/>
      <c r="L34" s="7"/>
      <c r="M34" s="7"/>
      <c r="N34" s="7"/>
      <c r="O34" s="7"/>
      <c r="P34" s="7"/>
      <c r="Q34" s="7"/>
      <c r="R34" s="7"/>
      <c r="S34" s="7"/>
      <c r="T34" s="7"/>
      <c r="U34" s="7"/>
      <c r="V34" s="7"/>
    </row>
    <row r="35" spans="1:22" ht="41.25" customHeight="1">
      <c r="A35" s="5" t="s">
        <v>132</v>
      </c>
      <c r="B35" s="6">
        <f>SUMIF(B9:B31,"NFR",E9:E31)</f>
        <v>27</v>
      </c>
      <c r="C35" s="7"/>
      <c r="D35" s="7"/>
      <c r="E35" s="7"/>
      <c r="F35" s="7"/>
      <c r="G35" s="7"/>
      <c r="H35" s="7"/>
      <c r="I35" s="7"/>
      <c r="J35" s="7"/>
      <c r="K35" s="7"/>
      <c r="L35" s="7"/>
      <c r="M35" s="7"/>
      <c r="N35" s="7"/>
      <c r="O35" s="7"/>
      <c r="P35" s="7"/>
      <c r="Q35" s="7"/>
      <c r="R35" s="7"/>
      <c r="S35" s="7"/>
      <c r="T35" s="7"/>
      <c r="U35" s="7"/>
      <c r="V35" s="7"/>
    </row>
    <row r="36" spans="1:22">
      <c r="A36" s="5" t="s">
        <v>133</v>
      </c>
      <c r="B36" s="6">
        <f>COUNTA(A9:A31)</f>
        <v>23</v>
      </c>
      <c r="C36" s="7"/>
      <c r="D36" s="7"/>
      <c r="E36" s="7"/>
      <c r="F36" s="7"/>
      <c r="G36" s="7"/>
      <c r="H36" s="7"/>
      <c r="I36" s="7"/>
      <c r="J36" s="7"/>
      <c r="K36" s="7"/>
      <c r="L36" s="7"/>
      <c r="M36" s="7"/>
      <c r="N36" s="7"/>
      <c r="O36" s="7"/>
      <c r="P36" s="7"/>
      <c r="Q36" s="7"/>
      <c r="R36" s="7"/>
      <c r="S36" s="7"/>
      <c r="T36" s="7"/>
      <c r="U36" s="7"/>
      <c r="V36" s="7"/>
    </row>
  </sheetData>
  <mergeCells count="1">
    <mergeCell ref="A1:V1"/>
  </mergeCells>
  <conditionalFormatting sqref="E9:E31">
    <cfRule type="dataBar" priority="1">
      <dataBar>
        <cfvo type="min"/>
        <cfvo type="max"/>
        <color rgb="FF6AA84F"/>
      </dataBar>
    </cfRule>
    <cfRule type="dataBar" priority="2">
      <dataBar>
        <cfvo type="min"/>
        <cfvo type="max"/>
        <color rgb="FF6AA84F"/>
      </dataBar>
    </cfRule>
  </conditionalFormatting>
  <dataValidations count="1">
    <dataValidation type="list" sqref="F9:F31" xr:uid="{00000000-0002-0000-0300-000000000000}">
      <formula1>"Not Started,In Progress,Done,Blocked"</formula1>
    </dataValidation>
  </dataValidation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workbookViewId="0">
      <selection sqref="A1:H1"/>
    </sheetView>
  </sheetViews>
  <sheetFormatPr defaultColWidth="8.83203125" defaultRowHeight="14"/>
  <cols>
    <col min="1" max="1" width="23.9140625" customWidth="1"/>
    <col min="2" max="4" width="18" customWidth="1"/>
  </cols>
  <sheetData>
    <row r="1" spans="1:8">
      <c r="A1" s="9" t="s">
        <v>295</v>
      </c>
      <c r="B1" s="10"/>
      <c r="C1" s="10"/>
      <c r="D1" s="10"/>
      <c r="E1" s="10"/>
      <c r="F1" s="10"/>
      <c r="G1" s="10"/>
      <c r="H1" s="10"/>
    </row>
    <row r="2" spans="1:8">
      <c r="A2" s="7"/>
      <c r="B2" s="7"/>
      <c r="C2" s="7"/>
      <c r="D2" s="7"/>
      <c r="E2" s="7"/>
      <c r="F2" s="7"/>
      <c r="G2" s="7"/>
      <c r="H2" s="7"/>
    </row>
    <row r="3" spans="1:8" ht="28">
      <c r="A3" s="4" t="s">
        <v>296</v>
      </c>
      <c r="B3" s="4" t="s">
        <v>297</v>
      </c>
      <c r="C3" s="4" t="s">
        <v>298</v>
      </c>
      <c r="D3" s="4" t="s">
        <v>299</v>
      </c>
      <c r="E3" s="7"/>
      <c r="F3" s="7"/>
      <c r="G3" s="7"/>
      <c r="H3" s="7"/>
    </row>
    <row r="4" spans="1:8" ht="14.5">
      <c r="A4" s="3" t="str">
        <f>"Sprint 1"</f>
        <v>Sprint 1</v>
      </c>
      <c r="B4" s="3">
        <f>COUNTA('Sprint 1'!A9:A33)</f>
        <v>25</v>
      </c>
      <c r="C4" s="3">
        <f>SUM('Sprint 1'!E9:E33)</f>
        <v>68</v>
      </c>
      <c r="D4" s="3">
        <f>COUNTIF('Sprint 1'!B9:B33,"NFR")</f>
        <v>10</v>
      </c>
      <c r="E4" s="7"/>
      <c r="F4" s="7"/>
      <c r="G4" s="7"/>
      <c r="H4" s="7"/>
    </row>
    <row r="5" spans="1:8" ht="14.5">
      <c r="A5" s="3" t="str">
        <f>"Sprint 2"</f>
        <v>Sprint 2</v>
      </c>
      <c r="B5" s="3">
        <f>COUNTA('Sprint 2'!A9:A31)</f>
        <v>23</v>
      </c>
      <c r="C5" s="3">
        <f>SUM('Sprint 2'!E9:E31)</f>
        <v>75</v>
      </c>
      <c r="D5" s="3">
        <f>COUNTIF('Sprint 2'!B9:B31,"NFR")</f>
        <v>10</v>
      </c>
      <c r="E5" s="7"/>
      <c r="F5" s="7"/>
      <c r="G5" s="7"/>
      <c r="H5" s="7"/>
    </row>
    <row r="6" spans="1:8">
      <c r="A6" s="7"/>
      <c r="B6" s="7"/>
      <c r="C6" s="7"/>
      <c r="D6" s="7"/>
      <c r="E6" s="7"/>
      <c r="F6" s="7"/>
      <c r="G6" s="7"/>
      <c r="H6" s="7"/>
    </row>
    <row r="7" spans="1:8">
      <c r="A7" s="12" t="s">
        <v>300</v>
      </c>
      <c r="B7" s="10"/>
      <c r="C7" s="10"/>
      <c r="D7" s="10"/>
      <c r="E7" s="10"/>
      <c r="F7" s="10"/>
      <c r="G7" s="10"/>
      <c r="H7" s="10"/>
    </row>
    <row r="8" spans="1:8">
      <c r="A8" s="11" t="s">
        <v>301</v>
      </c>
      <c r="B8" s="10"/>
      <c r="C8" s="10"/>
      <c r="D8" s="10"/>
      <c r="E8" s="10"/>
      <c r="F8" s="10"/>
      <c r="G8" s="10"/>
      <c r="H8" s="10"/>
    </row>
    <row r="9" spans="1:8">
      <c r="A9" s="10"/>
      <c r="B9" s="10"/>
      <c r="C9" s="10"/>
      <c r="D9" s="10"/>
      <c r="E9" s="10"/>
      <c r="F9" s="10"/>
      <c r="G9" s="10"/>
      <c r="H9" s="10"/>
    </row>
    <row r="10" spans="1:8">
      <c r="A10" s="10"/>
      <c r="B10" s="10"/>
      <c r="C10" s="10"/>
      <c r="D10" s="10"/>
      <c r="E10" s="10"/>
      <c r="F10" s="10"/>
      <c r="G10" s="10"/>
      <c r="H10" s="10"/>
    </row>
    <row r="11" spans="1:8">
      <c r="A11" s="10"/>
      <c r="B11" s="10"/>
      <c r="C11" s="10"/>
      <c r="D11" s="10"/>
      <c r="E11" s="10"/>
      <c r="F11" s="10"/>
      <c r="G11" s="10"/>
      <c r="H11" s="10"/>
    </row>
  </sheetData>
  <mergeCells count="3">
    <mergeCell ref="A7:H7"/>
    <mergeCell ref="A8:H11"/>
    <mergeCell ref="A1:H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Product Backlog</vt:lpstr>
      <vt:lpstr>Sprint 1</vt:lpstr>
      <vt:lpstr>Sprint 2</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Rodriguez</dc:creator>
  <cp:lastModifiedBy>Rollins, Darius</cp:lastModifiedBy>
  <dcterms:created xsi:type="dcterms:W3CDTF">2026-06-28T06:30:54Z</dcterms:created>
  <dcterms:modified xsi:type="dcterms:W3CDTF">2026-07-30T19:10:07Z</dcterms:modified>
</cp:coreProperties>
</file>